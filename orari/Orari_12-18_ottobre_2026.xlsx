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ri" sheetId="1" state="visible" r:id="rId1"/>
    <sheet name="Coper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9"/>
    </font>
    <font>
      <name val="Arial"/>
      <sz val="9"/>
    </font>
    <font>
      <name val="Arial"/>
      <i val="1"/>
      <sz val="9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9" customWidth="1" min="31" max="31"/>
    <col width="10" customWidth="1" min="32" max="32"/>
  </cols>
  <sheetData>
    <row r="1">
      <c r="A1" s="1" t="inlineStr">
        <is>
          <t>DAL</t>
        </is>
      </c>
      <c r="B1" s="1" t="inlineStr">
        <is>
          <t>12/10/2026</t>
        </is>
      </c>
      <c r="D1" s="1" t="inlineStr">
        <is>
          <t>AL</t>
        </is>
      </c>
      <c r="E1" s="1" t="inlineStr">
        <is>
          <t>18/10/2026</t>
        </is>
      </c>
    </row>
    <row r="3">
      <c r="A3" s="2" t="inlineStr">
        <is>
          <t>NOMINATIVO / TURNO</t>
        </is>
      </c>
      <c r="B3" s="2" t="inlineStr">
        <is>
          <t>RUOLO</t>
        </is>
      </c>
      <c r="C3" s="2" t="inlineStr">
        <is>
          <t>lunedì 12 ottobre 2026</t>
        </is>
      </c>
      <c r="D3" s="2" t="n"/>
      <c r="E3" s="2" t="n"/>
      <c r="F3" s="2" t="n"/>
      <c r="G3" s="2" t="inlineStr">
        <is>
          <t>martedì 13 ottobre 2026</t>
        </is>
      </c>
      <c r="H3" s="2" t="n"/>
      <c r="I3" s="2" t="n"/>
      <c r="J3" s="2" t="n"/>
      <c r="K3" s="2" t="inlineStr">
        <is>
          <t>mercoledì 14 ottobre 2026</t>
        </is>
      </c>
      <c r="L3" s="2" t="n"/>
      <c r="M3" s="2" t="n"/>
      <c r="N3" s="2" t="n"/>
      <c r="O3" s="2" t="inlineStr">
        <is>
          <t>giovedì 15 ottobre 2026</t>
        </is>
      </c>
      <c r="P3" s="2" t="n"/>
      <c r="Q3" s="2" t="n"/>
      <c r="R3" s="2" t="n"/>
      <c r="S3" s="2" t="inlineStr">
        <is>
          <t>venerdì 16 ottobre 2026</t>
        </is>
      </c>
      <c r="T3" s="2" t="n"/>
      <c r="U3" s="2" t="n"/>
      <c r="V3" s="2" t="n"/>
      <c r="W3" s="2" t="inlineStr">
        <is>
          <t>sabato 17 ottobre 2026</t>
        </is>
      </c>
      <c r="X3" s="2" t="n"/>
      <c r="Y3" s="2" t="n"/>
      <c r="Z3" s="2" t="n"/>
      <c r="AA3" s="2" t="inlineStr">
        <is>
          <t>domenica 18 ottobre 2026</t>
        </is>
      </c>
      <c r="AB3" s="2" t="n"/>
      <c r="AC3" s="2" t="n"/>
      <c r="AD3" s="2" t="n"/>
      <c r="AE3" s="2" t="inlineStr">
        <is>
          <t>TOTALE ORE</t>
        </is>
      </c>
      <c r="AF3" s="2" t="inlineStr">
        <is>
          <t>ORE CONTRATTO</t>
        </is>
      </c>
    </row>
    <row r="4">
      <c r="A4" s="2" t="n"/>
      <c r="B4" s="2" t="n"/>
      <c r="C4" s="2" t="inlineStr">
        <is>
          <t>Mattino</t>
        </is>
      </c>
      <c r="D4" s="2" t="n"/>
      <c r="E4" s="2" t="inlineStr">
        <is>
          <t>Pomeriggio</t>
        </is>
      </c>
      <c r="F4" s="2" t="n"/>
      <c r="G4" s="2" t="inlineStr">
        <is>
          <t>Mattino</t>
        </is>
      </c>
      <c r="H4" s="2" t="n"/>
      <c r="I4" s="2" t="inlineStr">
        <is>
          <t>Pomeriggio</t>
        </is>
      </c>
      <c r="J4" s="2" t="n"/>
      <c r="K4" s="2" t="inlineStr">
        <is>
          <t>Mattino</t>
        </is>
      </c>
      <c r="L4" s="2" t="n"/>
      <c r="M4" s="2" t="inlineStr">
        <is>
          <t>Pomeriggio</t>
        </is>
      </c>
      <c r="N4" s="2" t="n"/>
      <c r="O4" s="2" t="inlineStr">
        <is>
          <t>Mattino</t>
        </is>
      </c>
      <c r="P4" s="2" t="n"/>
      <c r="Q4" s="2" t="inlineStr">
        <is>
          <t>Pomeriggio</t>
        </is>
      </c>
      <c r="R4" s="2" t="n"/>
      <c r="S4" s="2" t="inlineStr">
        <is>
          <t>Mattino</t>
        </is>
      </c>
      <c r="T4" s="2" t="n"/>
      <c r="U4" s="2" t="inlineStr">
        <is>
          <t>Pomeriggio</t>
        </is>
      </c>
      <c r="V4" s="2" t="n"/>
      <c r="W4" s="2" t="inlineStr">
        <is>
          <t>Mattino</t>
        </is>
      </c>
      <c r="X4" s="2" t="n"/>
      <c r="Y4" s="2" t="inlineStr">
        <is>
          <t>Pomeriggio</t>
        </is>
      </c>
      <c r="Z4" s="2" t="n"/>
      <c r="AA4" s="2" t="inlineStr">
        <is>
          <t>Mattino</t>
        </is>
      </c>
      <c r="AB4" s="2" t="n"/>
      <c r="AC4" s="2" t="inlineStr">
        <is>
          <t>Pomeriggio</t>
        </is>
      </c>
      <c r="AD4" s="2" t="n"/>
      <c r="AE4" s="2" t="n"/>
      <c r="AF4" s="2" t="n"/>
    </row>
    <row r="5">
      <c r="A5" s="2" t="n"/>
      <c r="B5" s="2" t="n"/>
      <c r="C5" s="2" t="inlineStr">
        <is>
          <t>E</t>
        </is>
      </c>
      <c r="D5" s="2" t="inlineStr">
        <is>
          <t>U</t>
        </is>
      </c>
      <c r="E5" s="2" t="inlineStr">
        <is>
          <t>E</t>
        </is>
      </c>
      <c r="F5" s="2" t="inlineStr">
        <is>
          <t>U</t>
        </is>
      </c>
      <c r="G5" s="2" t="inlineStr">
        <is>
          <t>E</t>
        </is>
      </c>
      <c r="H5" s="2" t="inlineStr">
        <is>
          <t>U</t>
        </is>
      </c>
      <c r="I5" s="2" t="inlineStr">
        <is>
          <t>E</t>
        </is>
      </c>
      <c r="J5" s="2" t="inlineStr">
        <is>
          <t>U</t>
        </is>
      </c>
      <c r="K5" s="2" t="inlineStr">
        <is>
          <t>E</t>
        </is>
      </c>
      <c r="L5" s="2" t="inlineStr">
        <is>
          <t>U</t>
        </is>
      </c>
      <c r="M5" s="2" t="inlineStr">
        <is>
          <t>E</t>
        </is>
      </c>
      <c r="N5" s="2" t="inlineStr">
        <is>
          <t>U</t>
        </is>
      </c>
      <c r="O5" s="2" t="inlineStr">
        <is>
          <t>E</t>
        </is>
      </c>
      <c r="P5" s="2" t="inlineStr">
        <is>
          <t>U</t>
        </is>
      </c>
      <c r="Q5" s="2" t="inlineStr">
        <is>
          <t>E</t>
        </is>
      </c>
      <c r="R5" s="2" t="inlineStr">
        <is>
          <t>U</t>
        </is>
      </c>
      <c r="S5" s="2" t="inlineStr">
        <is>
          <t>E</t>
        </is>
      </c>
      <c r="T5" s="2" t="inlineStr">
        <is>
          <t>U</t>
        </is>
      </c>
      <c r="U5" s="2" t="inlineStr">
        <is>
          <t>E</t>
        </is>
      </c>
      <c r="V5" s="2" t="inlineStr">
        <is>
          <t>U</t>
        </is>
      </c>
      <c r="W5" s="2" t="inlineStr">
        <is>
          <t>E</t>
        </is>
      </c>
      <c r="X5" s="2" t="inlineStr">
        <is>
          <t>U</t>
        </is>
      </c>
      <c r="Y5" s="2" t="inlineStr">
        <is>
          <t>E</t>
        </is>
      </c>
      <c r="Z5" s="2" t="inlineStr">
        <is>
          <t>U</t>
        </is>
      </c>
      <c r="AA5" s="2" t="inlineStr">
        <is>
          <t>E</t>
        </is>
      </c>
      <c r="AB5" s="2" t="inlineStr">
        <is>
          <t>U</t>
        </is>
      </c>
      <c r="AC5" s="2" t="inlineStr">
        <is>
          <t>E</t>
        </is>
      </c>
      <c r="AD5" s="2" t="inlineStr">
        <is>
          <t>U</t>
        </is>
      </c>
      <c r="AE5" s="2" t="n"/>
      <c r="AF5" s="2" t="n"/>
    </row>
    <row r="6">
      <c r="A6" s="3" t="inlineStr">
        <is>
          <t>BRUNI LAURA</t>
        </is>
      </c>
      <c r="B6" s="4" t="inlineStr">
        <is>
          <t>Addetto vendite</t>
        </is>
      </c>
      <c r="C6" s="5" t="n">
        <v>0.4166666666666667</v>
      </c>
      <c r="D6" s="5" t="n">
        <v>0.625</v>
      </c>
      <c r="E6" s="6" t="n"/>
      <c r="F6" s="6" t="n"/>
      <c r="G6" s="6" t="n"/>
      <c r="H6" s="6" t="n"/>
      <c r="I6" s="5" t="n">
        <v>0.625</v>
      </c>
      <c r="J6" s="5" t="n">
        <v>0.8333333333333334</v>
      </c>
      <c r="K6" s="7" t="inlineStr">
        <is>
          <t>RIPOSO</t>
        </is>
      </c>
      <c r="L6" s="7" t="n"/>
      <c r="M6" s="7" t="n"/>
      <c r="N6" s="7" t="n"/>
      <c r="O6" s="5" t="n">
        <v>0.4166666666666667</v>
      </c>
      <c r="P6" s="5" t="n">
        <v>0.625</v>
      </c>
      <c r="Q6" s="6" t="n"/>
      <c r="R6" s="6" t="n"/>
      <c r="S6" s="6" t="n"/>
      <c r="T6" s="6" t="n"/>
      <c r="U6" s="5" t="n">
        <v>0.5833333333333334</v>
      </c>
      <c r="V6" s="5" t="n">
        <v>0.8333333333333334</v>
      </c>
      <c r="W6" s="5" t="n">
        <v>0.4166666666666667</v>
      </c>
      <c r="X6" s="5" t="n">
        <v>0.625</v>
      </c>
      <c r="Y6" s="5" t="n">
        <v>0.6666666666666666</v>
      </c>
      <c r="Z6" s="5" t="n">
        <v>0.8333333333333334</v>
      </c>
      <c r="AA6" s="7" t="inlineStr">
        <is>
          <t>RIPOSO</t>
        </is>
      </c>
      <c r="AB6" s="7" t="n"/>
      <c r="AC6" s="7" t="n"/>
      <c r="AD6" s="7" t="n"/>
      <c r="AE6" s="8">
        <f>ROUND(24*(N(D6)-N(C6)+N(F6)-N(E6)+N(H6)-N(G6)+N(J6)-N(I6)+N(L6)-N(K6)+N(N6)-N(M6)+N(P6)-N(O6)+N(R6)-N(Q6)+N(T6)-N(S6)+N(V6)-N(U6)+N(X6)-N(W6)+N(Z6)-N(Y6)+N(AB6)-N(AA6)+N(AD6)-N(AC6)),2)</f>
        <v/>
      </c>
      <c r="AF6" s="6" t="n">
        <v>30</v>
      </c>
    </row>
    <row r="7">
      <c r="A7" s="3" t="inlineStr">
        <is>
          <t>DE SANTIS MIRKO 🔑</t>
        </is>
      </c>
      <c r="B7" s="4" t="inlineStr">
        <is>
          <t>Vicedirettore</t>
        </is>
      </c>
      <c r="C7" s="7" t="inlineStr">
        <is>
          <t>RIPOSO</t>
        </is>
      </c>
      <c r="D7" s="7" t="n"/>
      <c r="E7" s="7" t="n"/>
      <c r="F7" s="7" t="n"/>
      <c r="G7" s="5" t="n">
        <v>0.375</v>
      </c>
      <c r="H7" s="5" t="n">
        <v>0.625</v>
      </c>
      <c r="I7" s="5" t="n">
        <v>0.6666666666666666</v>
      </c>
      <c r="J7" s="5" t="n">
        <v>0.8333333333333334</v>
      </c>
      <c r="K7" s="5" t="n">
        <v>0.375</v>
      </c>
      <c r="L7" s="5" t="n">
        <v>0.625</v>
      </c>
      <c r="M7" s="5" t="n">
        <v>0.6666666666666666</v>
      </c>
      <c r="N7" s="5" t="n">
        <v>0.8333333333333334</v>
      </c>
      <c r="O7" s="7" t="inlineStr">
        <is>
          <t>RIPOSO</t>
        </is>
      </c>
      <c r="P7" s="7" t="n"/>
      <c r="Q7" s="7" t="n"/>
      <c r="R7" s="7" t="n"/>
      <c r="S7" s="5" t="n">
        <v>0.375</v>
      </c>
      <c r="T7" s="5" t="n">
        <v>0.625</v>
      </c>
      <c r="U7" s="6" t="n"/>
      <c r="V7" s="6" t="n"/>
      <c r="W7" s="5" t="n">
        <v>0.4583333333333333</v>
      </c>
      <c r="X7" s="5" t="n">
        <v>0.5833333333333334</v>
      </c>
      <c r="Y7" s="5" t="n">
        <v>0.625</v>
      </c>
      <c r="Z7" s="5" t="n">
        <v>0.875</v>
      </c>
      <c r="AA7" s="5" t="n">
        <v>0.4166666666666667</v>
      </c>
      <c r="AB7" s="5" t="n">
        <v>0.5416666666666666</v>
      </c>
      <c r="AC7" s="5" t="n">
        <v>0.5833333333333334</v>
      </c>
      <c r="AD7" s="5" t="n">
        <v>0.875</v>
      </c>
      <c r="AE7" s="8">
        <f>ROUND(24*(N(D7)-N(C7)+N(F7)-N(E7)+N(H7)-N(G7)+N(J7)-N(I7)+N(L7)-N(K7)+N(N7)-N(M7)+N(P7)-N(O7)+N(R7)-N(Q7)+N(T7)-N(S7)+N(V7)-N(U7)+N(X7)-N(W7)+N(Z7)-N(Y7)+N(AB7)-N(AA7)+N(AD7)-N(AC7)),2)</f>
        <v/>
      </c>
      <c r="AF7" s="6" t="inlineStr">
        <is>
          <t>44-45</t>
        </is>
      </c>
    </row>
    <row r="8">
      <c r="A8" s="3" t="inlineStr">
        <is>
          <t>CILIANI ANDREA 🔑</t>
        </is>
      </c>
      <c r="B8" s="4" t="inlineStr">
        <is>
          <t>Addetto vendite</t>
        </is>
      </c>
      <c r="C8" s="6" t="n"/>
      <c r="D8" s="6" t="n"/>
      <c r="E8" s="5" t="n">
        <v>0.625</v>
      </c>
      <c r="F8" s="5" t="n">
        <v>0.875</v>
      </c>
      <c r="G8" s="5" t="n">
        <v>0.4166666666666667</v>
      </c>
      <c r="H8" s="5" t="n">
        <v>0.6666666666666666</v>
      </c>
      <c r="I8" s="5" t="n">
        <v>0.7083333333333334</v>
      </c>
      <c r="J8" s="5" t="n">
        <v>0.875</v>
      </c>
      <c r="K8" s="7" t="inlineStr">
        <is>
          <t>RIPOSO</t>
        </is>
      </c>
      <c r="L8" s="7" t="n"/>
      <c r="M8" s="7" t="n"/>
      <c r="N8" s="7" t="n"/>
      <c r="O8" s="6" t="n"/>
      <c r="P8" s="6" t="n"/>
      <c r="Q8" s="5" t="n">
        <v>0.625</v>
      </c>
      <c r="R8" s="5" t="n">
        <v>0.875</v>
      </c>
      <c r="S8" s="7" t="inlineStr">
        <is>
          <t>RIPOSO</t>
        </is>
      </c>
      <c r="T8" s="7" t="n"/>
      <c r="U8" s="7" t="n"/>
      <c r="V8" s="7" t="n"/>
      <c r="W8" s="5" t="n">
        <v>0.375</v>
      </c>
      <c r="X8" s="5" t="n">
        <v>0.625</v>
      </c>
      <c r="Y8" s="5" t="n">
        <v>0.6666666666666666</v>
      </c>
      <c r="Z8" s="5" t="n">
        <v>0.7916666666666666</v>
      </c>
      <c r="AA8" s="5" t="n">
        <v>0.375</v>
      </c>
      <c r="AB8" s="5" t="n">
        <v>0.5</v>
      </c>
      <c r="AC8" s="5" t="n">
        <v>0.5416666666666666</v>
      </c>
      <c r="AD8" s="5" t="n">
        <v>0.7916666666666666</v>
      </c>
      <c r="AE8" s="8">
        <f>ROUND(24*(N(D8)-N(C8)+N(F8)-N(E8)+N(H8)-N(G8)+N(J8)-N(I8)+N(L8)-N(K8)+N(N8)-N(M8)+N(P8)-N(O8)+N(R8)-N(Q8)+N(T8)-N(S8)+N(V8)-N(U8)+N(X8)-N(W8)+N(Z8)-N(Y8)+N(AB8)-N(AA8)+N(AD8)-N(AC8)),2)</f>
        <v/>
      </c>
      <c r="AF8" s="6" t="n">
        <v>40</v>
      </c>
    </row>
    <row r="9">
      <c r="A9" s="3" t="inlineStr">
        <is>
          <t>DI ERASMO GABRIELE</t>
        </is>
      </c>
      <c r="B9" s="4" t="inlineStr">
        <is>
          <t>Addetto vendite</t>
        </is>
      </c>
      <c r="C9" s="6" t="n"/>
      <c r="D9" s="6" t="n"/>
      <c r="E9" s="5" t="n">
        <v>0.625</v>
      </c>
      <c r="F9" s="5" t="n">
        <v>0.875</v>
      </c>
      <c r="G9" s="7" t="inlineStr">
        <is>
          <t>RIPOSO</t>
        </is>
      </c>
      <c r="H9" s="7" t="n"/>
      <c r="I9" s="7" t="n"/>
      <c r="J9" s="7" t="n"/>
      <c r="K9" s="5" t="n">
        <v>0.4166666666666667</v>
      </c>
      <c r="L9" s="5" t="n">
        <v>0.6666666666666666</v>
      </c>
      <c r="M9" s="5" t="n">
        <v>0.7083333333333334</v>
      </c>
      <c r="N9" s="5" t="n">
        <v>0.875</v>
      </c>
      <c r="O9" s="6" t="n"/>
      <c r="P9" s="6" t="n"/>
      <c r="Q9" s="5" t="n">
        <v>0.625</v>
      </c>
      <c r="R9" s="5" t="n">
        <v>0.875</v>
      </c>
      <c r="S9" s="7" t="inlineStr">
        <is>
          <t>RIPOSO</t>
        </is>
      </c>
      <c r="T9" s="7" t="n"/>
      <c r="U9" s="7" t="n"/>
      <c r="V9" s="7" t="n"/>
      <c r="W9" s="5" t="n">
        <v>0.375</v>
      </c>
      <c r="X9" s="5" t="n">
        <v>0.5416666666666666</v>
      </c>
      <c r="Y9" s="5" t="n">
        <v>0.5833333333333334</v>
      </c>
      <c r="Z9" s="5" t="n">
        <v>0.7916666666666666</v>
      </c>
      <c r="AA9" s="5" t="n">
        <v>0.4583333333333333</v>
      </c>
      <c r="AB9" s="5" t="n">
        <v>0.5833333333333334</v>
      </c>
      <c r="AC9" s="5" t="n">
        <v>0.625</v>
      </c>
      <c r="AD9" s="5" t="n">
        <v>0.875</v>
      </c>
      <c r="AE9" s="8">
        <f>ROUND(24*(N(D9)-N(C9)+N(F9)-N(E9)+N(H9)-N(G9)+N(J9)-N(I9)+N(L9)-N(K9)+N(N9)-N(M9)+N(P9)-N(O9)+N(R9)-N(Q9)+N(T9)-N(S9)+N(V9)-N(U9)+N(X9)-N(W9)+N(Z9)-N(Y9)+N(AB9)-N(AA9)+N(AD9)-N(AC9)),2)</f>
        <v/>
      </c>
      <c r="AF9" s="6" t="n">
        <v>40</v>
      </c>
    </row>
    <row r="10">
      <c r="A10" s="3" t="inlineStr">
        <is>
          <t>GERMANO ALESSANDRO</t>
        </is>
      </c>
      <c r="B10" s="4" t="inlineStr">
        <is>
          <t>Addetto vendite</t>
        </is>
      </c>
      <c r="C10" s="5" t="n">
        <v>0.375</v>
      </c>
      <c r="D10" s="5" t="n">
        <v>0.625</v>
      </c>
      <c r="E10" s="5" t="n">
        <v>0.6666666666666666</v>
      </c>
      <c r="F10" s="5" t="n">
        <v>0.7916666666666666</v>
      </c>
      <c r="G10" s="7" t="inlineStr">
        <is>
          <t>RIPOSO</t>
        </is>
      </c>
      <c r="H10" s="7" t="n"/>
      <c r="I10" s="7" t="n"/>
      <c r="J10" s="7" t="n"/>
      <c r="K10" s="6" t="n"/>
      <c r="L10" s="6" t="n"/>
      <c r="M10" s="5" t="n">
        <v>0.625</v>
      </c>
      <c r="N10" s="5" t="n">
        <v>0.875</v>
      </c>
      <c r="O10" s="5" t="n">
        <v>0.375</v>
      </c>
      <c r="P10" s="5" t="n">
        <v>0.625</v>
      </c>
      <c r="Q10" s="6" t="n"/>
      <c r="R10" s="6" t="n"/>
      <c r="S10" s="5" t="n">
        <v>0.4166666666666667</v>
      </c>
      <c r="T10" s="5" t="n">
        <v>0.5833333333333334</v>
      </c>
      <c r="U10" s="5" t="n">
        <v>0.625</v>
      </c>
      <c r="V10" s="5" t="n">
        <v>0.875</v>
      </c>
      <c r="W10" s="5" t="n">
        <v>0.4583333333333333</v>
      </c>
      <c r="X10" s="5" t="n">
        <v>0.5833333333333334</v>
      </c>
      <c r="Y10" s="5" t="n">
        <v>0.625</v>
      </c>
      <c r="Z10" s="5" t="n">
        <v>0.875</v>
      </c>
      <c r="AA10" s="7" t="inlineStr">
        <is>
          <t>RIPOSO</t>
        </is>
      </c>
      <c r="AB10" s="7" t="n"/>
      <c r="AC10" s="7" t="n"/>
      <c r="AD10" s="7" t="n"/>
      <c r="AE10" s="8">
        <f>ROUND(24*(N(D10)-N(C10)+N(F10)-N(E10)+N(H10)-N(G10)+N(J10)-N(I10)+N(L10)-N(K10)+N(N10)-N(M10)+N(P10)-N(O10)+N(R10)-N(Q10)+N(T10)-N(S10)+N(V10)-N(U10)+N(X10)-N(W10)+N(Z10)-N(Y10)+N(AB10)-N(AA10)+N(AD10)-N(AC10)),2)</f>
        <v/>
      </c>
      <c r="AF10" s="6" t="n">
        <v>40</v>
      </c>
    </row>
    <row r="11">
      <c r="A11" s="3" t="inlineStr">
        <is>
          <t>PROIETTI BENEDETTA 🔑</t>
        </is>
      </c>
      <c r="B11" s="4" t="inlineStr">
        <is>
          <t>Cassiera</t>
        </is>
      </c>
      <c r="C11" s="5" t="n">
        <v>0.375</v>
      </c>
      <c r="D11" s="5" t="n">
        <v>0.5416666666666666</v>
      </c>
      <c r="E11" s="5" t="n">
        <v>0.5833333333333334</v>
      </c>
      <c r="F11" s="5" t="n">
        <v>0.7083333333333334</v>
      </c>
      <c r="G11" s="7" t="inlineStr">
        <is>
          <t>RIPOSO</t>
        </is>
      </c>
      <c r="H11" s="7" t="n"/>
      <c r="I11" s="7" t="n"/>
      <c r="J11" s="7" t="n"/>
      <c r="K11" s="5" t="n">
        <v>0.4166666666666667</v>
      </c>
      <c r="L11" s="5" t="n">
        <v>0.5416666666666666</v>
      </c>
      <c r="M11" s="5" t="n">
        <v>0.5833333333333334</v>
      </c>
      <c r="N11" s="5" t="n">
        <v>0.875</v>
      </c>
      <c r="O11" s="5" t="n">
        <v>0.375</v>
      </c>
      <c r="P11" s="5" t="n">
        <v>0.5416666666666666</v>
      </c>
      <c r="Q11" s="5" t="n">
        <v>0.5833333333333334</v>
      </c>
      <c r="R11" s="5" t="n">
        <v>0.75</v>
      </c>
      <c r="S11" s="5" t="n">
        <v>0.4583333333333333</v>
      </c>
      <c r="T11" s="5" t="n">
        <v>0.5416666666666666</v>
      </c>
      <c r="U11" s="5" t="n">
        <v>0.5833333333333334</v>
      </c>
      <c r="V11" s="5" t="n">
        <v>0.875</v>
      </c>
      <c r="W11" s="5" t="n">
        <v>0.375</v>
      </c>
      <c r="X11" s="5" t="n">
        <v>0.625</v>
      </c>
      <c r="Y11" s="6" t="n"/>
      <c r="Z11" s="6" t="n"/>
      <c r="AA11" s="7" t="inlineStr">
        <is>
          <t>RIPOSO</t>
        </is>
      </c>
      <c r="AB11" s="7" t="n"/>
      <c r="AC11" s="7" t="n"/>
      <c r="AD11" s="7" t="n"/>
      <c r="AE11" s="8">
        <f>ROUND(24*(N(D11)-N(C11)+N(F11)-N(E11)+N(H11)-N(G11)+N(J11)-N(I11)+N(L11)-N(K11)+N(N11)-N(M11)+N(P11)-N(O11)+N(R11)-N(Q11)+N(T11)-N(S11)+N(V11)-N(U11)+N(X11)-N(W11)+N(Z11)-N(Y11)+N(AB11)-N(AA11)+N(AD11)-N(AC11)),2)</f>
        <v/>
      </c>
      <c r="AF11" s="6" t="n">
        <v>40</v>
      </c>
    </row>
    <row r="12">
      <c r="A12" s="3" t="inlineStr">
        <is>
          <t>LORETI MARTINA</t>
        </is>
      </c>
      <c r="B12" s="4" t="inlineStr">
        <is>
          <t>Cassiera</t>
        </is>
      </c>
      <c r="C12" s="6" t="n"/>
      <c r="D12" s="6" t="n"/>
      <c r="E12" s="5" t="n">
        <v>0.7083333333333334</v>
      </c>
      <c r="F12" s="5" t="n">
        <v>0.875</v>
      </c>
      <c r="G12" s="5" t="n">
        <v>0.375</v>
      </c>
      <c r="H12" s="5" t="n">
        <v>0.5833333333333334</v>
      </c>
      <c r="I12" s="6" t="n"/>
      <c r="J12" s="6" t="n"/>
      <c r="K12" s="7" t="inlineStr">
        <is>
          <t>RIPOSO</t>
        </is>
      </c>
      <c r="L12" s="7" t="n"/>
      <c r="M12" s="7" t="n"/>
      <c r="N12" s="7" t="n"/>
      <c r="O12" s="7" t="inlineStr">
        <is>
          <t>RIPOSO</t>
        </is>
      </c>
      <c r="P12" s="7" t="n"/>
      <c r="Q12" s="7" t="n"/>
      <c r="R12" s="7" t="n"/>
      <c r="S12" s="5" t="n">
        <v>0.375</v>
      </c>
      <c r="T12" s="5" t="n">
        <v>0.5833333333333334</v>
      </c>
      <c r="U12" s="6" t="n"/>
      <c r="V12" s="6" t="n"/>
      <c r="W12" s="7" t="inlineStr">
        <is>
          <t>RIPOSO</t>
        </is>
      </c>
      <c r="X12" s="7" t="n"/>
      <c r="Y12" s="7" t="n"/>
      <c r="Z12" s="7" t="n"/>
      <c r="AA12" s="5" t="n">
        <v>0.4166666666666667</v>
      </c>
      <c r="AB12" s="5" t="n">
        <v>0.5833333333333334</v>
      </c>
      <c r="AC12" s="5" t="n">
        <v>0.625</v>
      </c>
      <c r="AD12" s="5" t="n">
        <v>0.875</v>
      </c>
      <c r="AE12" s="8">
        <f>ROUND(24*(N(D12)-N(C12)+N(F12)-N(E12)+N(H12)-N(G12)+N(J12)-N(I12)+N(L12)-N(K12)+N(N12)-N(M12)+N(P12)-N(O12)+N(R12)-N(Q12)+N(T12)-N(S12)+N(V12)-N(U12)+N(X12)-N(W12)+N(Z12)-N(Y12)+N(AB12)-N(AA12)+N(AD12)-N(AC12)),2)</f>
        <v/>
      </c>
      <c r="AF12" s="6" t="n">
        <v>24</v>
      </c>
    </row>
    <row r="13">
      <c r="A13" s="3" t="inlineStr">
        <is>
          <t>PRESTI DEBORA</t>
        </is>
      </c>
      <c r="B13" s="4" t="inlineStr">
        <is>
          <t>Cassiera</t>
        </is>
      </c>
      <c r="C13" s="7" t="inlineStr">
        <is>
          <t>RIPOSO</t>
        </is>
      </c>
      <c r="D13" s="7" t="n"/>
      <c r="E13" s="7" t="n"/>
      <c r="F13" s="7" t="n"/>
      <c r="G13" s="6" t="n"/>
      <c r="H13" s="6" t="n"/>
      <c r="I13" s="5" t="n">
        <v>0.625</v>
      </c>
      <c r="J13" s="5" t="n">
        <v>0.875</v>
      </c>
      <c r="K13" s="5" t="n">
        <v>0.375</v>
      </c>
      <c r="L13" s="5" t="n">
        <v>0.5833333333333334</v>
      </c>
      <c r="M13" s="6" t="n"/>
      <c r="N13" s="6" t="n"/>
      <c r="O13" s="5" t="n">
        <v>0.4166666666666667</v>
      </c>
      <c r="P13" s="5" t="n">
        <v>0.5833333333333334</v>
      </c>
      <c r="Q13" s="6" t="n"/>
      <c r="R13" s="6" t="n"/>
      <c r="S13" s="6" t="n"/>
      <c r="T13" s="6" t="n"/>
      <c r="U13" s="5" t="n">
        <v>0.625</v>
      </c>
      <c r="V13" s="5" t="n">
        <v>0.7916666666666666</v>
      </c>
      <c r="W13" s="6" t="n"/>
      <c r="X13" s="6" t="n"/>
      <c r="Y13" s="5" t="n">
        <v>0.6666666666666666</v>
      </c>
      <c r="Z13" s="5" t="n">
        <v>0.875</v>
      </c>
      <c r="AA13" s="7" t="inlineStr">
        <is>
          <t>RIPOSO</t>
        </is>
      </c>
      <c r="AB13" s="7" t="n"/>
      <c r="AC13" s="7" t="n"/>
      <c r="AD13" s="7" t="n"/>
      <c r="AE13" s="8">
        <f>ROUND(24*(N(D13)-N(C13)+N(F13)-N(E13)+N(H13)-N(G13)+N(J13)-N(I13)+N(L13)-N(K13)+N(N13)-N(M13)+N(P13)-N(O13)+N(R13)-N(Q13)+N(T13)-N(S13)+N(V13)-N(U13)+N(X13)-N(W13)+N(Z13)-N(Y13)+N(AB13)-N(AA13)+N(AD13)-N(AC13)),2)</f>
        <v/>
      </c>
      <c r="AF13" s="6" t="n">
        <v>24</v>
      </c>
    </row>
    <row r="14">
      <c r="A14" s="3" t="inlineStr">
        <is>
          <t>PELLEGRINI GIORGIA</t>
        </is>
      </c>
      <c r="B14" s="4" t="inlineStr">
        <is>
          <t>Cassiera</t>
        </is>
      </c>
      <c r="C14" s="5" t="n">
        <v>0.4583333333333333</v>
      </c>
      <c r="D14" s="5" t="n">
        <v>0.5833333333333334</v>
      </c>
      <c r="E14" s="6" t="n"/>
      <c r="F14" s="6" t="n"/>
      <c r="G14" s="6" t="n"/>
      <c r="H14" s="6" t="n"/>
      <c r="I14" s="5" t="n">
        <v>0.5833333333333334</v>
      </c>
      <c r="J14" s="5" t="n">
        <v>0.75</v>
      </c>
      <c r="K14" s="7" t="inlineStr">
        <is>
          <t>RIPOSO</t>
        </is>
      </c>
      <c r="L14" s="7" t="n"/>
      <c r="M14" s="7" t="n"/>
      <c r="N14" s="7" t="n"/>
      <c r="O14" s="6" t="n"/>
      <c r="P14" s="6" t="n"/>
      <c r="Q14" s="5" t="n">
        <v>0.7083333333333334</v>
      </c>
      <c r="R14" s="5" t="n">
        <v>0.875</v>
      </c>
      <c r="S14" s="7" t="inlineStr">
        <is>
          <t>RIPOSO</t>
        </is>
      </c>
      <c r="T14" s="7" t="n"/>
      <c r="U14" s="7" t="n"/>
      <c r="V14" s="7" t="n"/>
      <c r="W14" s="6" t="n"/>
      <c r="X14" s="6" t="n"/>
      <c r="Y14" s="5" t="n">
        <v>0.625</v>
      </c>
      <c r="Z14" s="5" t="n">
        <v>0.7916666666666666</v>
      </c>
      <c r="AA14" s="5" t="n">
        <v>0.375</v>
      </c>
      <c r="AB14" s="5" t="n">
        <v>0.5416666666666666</v>
      </c>
      <c r="AC14" s="5" t="n">
        <v>0.5833333333333334</v>
      </c>
      <c r="AD14" s="5" t="n">
        <v>0.7916666666666666</v>
      </c>
      <c r="AE14" s="8">
        <f>ROUND(24*(N(D14)-N(C14)+N(F14)-N(E14)+N(H14)-N(G14)+N(J14)-N(I14)+N(L14)-N(K14)+N(N14)-N(M14)+N(P14)-N(O14)+N(R14)-N(Q14)+N(T14)-N(S14)+N(V14)-N(U14)+N(X14)-N(W14)+N(Z14)-N(Y14)+N(AB14)-N(AA14)+N(AD14)-N(AC14)),2)</f>
        <v/>
      </c>
      <c r="AF14" s="6" t="n">
        <v>24</v>
      </c>
    </row>
    <row r="15">
      <c r="A15" s="3" t="inlineStr">
        <is>
          <t>DIANA LUIGI</t>
        </is>
      </c>
      <c r="B15" s="4" t="inlineStr">
        <is>
          <t>Magazziniere</t>
        </is>
      </c>
      <c r="C15" s="5" t="n">
        <v>0.375</v>
      </c>
      <c r="D15" s="5" t="n">
        <v>0.5416666666666666</v>
      </c>
      <c r="E15" s="5" t="n">
        <v>0.5833333333333334</v>
      </c>
      <c r="F15" s="5" t="n">
        <v>0.75</v>
      </c>
      <c r="G15" s="5" t="n">
        <v>0.375</v>
      </c>
      <c r="H15" s="5" t="n">
        <v>0.5416666666666666</v>
      </c>
      <c r="I15" s="5" t="n">
        <v>0.5833333333333334</v>
      </c>
      <c r="J15" s="5" t="n">
        <v>0.75</v>
      </c>
      <c r="K15" s="5" t="n">
        <v>0.375</v>
      </c>
      <c r="L15" s="5" t="n">
        <v>0.5416666666666666</v>
      </c>
      <c r="M15" s="5" t="n">
        <v>0.5833333333333334</v>
      </c>
      <c r="N15" s="5" t="n">
        <v>0.75</v>
      </c>
      <c r="O15" s="5" t="n">
        <v>0.375</v>
      </c>
      <c r="P15" s="5" t="n">
        <v>0.5416666666666666</v>
      </c>
      <c r="Q15" s="5" t="n">
        <v>0.5833333333333334</v>
      </c>
      <c r="R15" s="5" t="n">
        <v>0.75</v>
      </c>
      <c r="S15" s="5" t="n">
        <v>0.375</v>
      </c>
      <c r="T15" s="5" t="n">
        <v>0.5416666666666666</v>
      </c>
      <c r="U15" s="5" t="n">
        <v>0.5833333333333334</v>
      </c>
      <c r="V15" s="5" t="n">
        <v>0.75</v>
      </c>
      <c r="W15" s="7" t="inlineStr">
        <is>
          <t>RIPOSO</t>
        </is>
      </c>
      <c r="X15" s="7" t="n"/>
      <c r="Y15" s="7" t="n"/>
      <c r="Z15" s="7" t="n"/>
      <c r="AA15" s="7" t="inlineStr">
        <is>
          <t>RIPOSO</t>
        </is>
      </c>
      <c r="AB15" s="7" t="n"/>
      <c r="AC15" s="7" t="n"/>
      <c r="AD15" s="7" t="n"/>
      <c r="AE15" s="8">
        <f>ROUND(24*(N(D15)-N(C15)+N(F15)-N(E15)+N(H15)-N(G15)+N(J15)-N(I15)+N(L15)-N(K15)+N(N15)-N(M15)+N(P15)-N(O15)+N(R15)-N(Q15)+N(T15)-N(S15)+N(V15)-N(U15)+N(X15)-N(W15)+N(Z15)-N(Y15)+N(AB15)-N(AA15)+N(AD15)-N(AC15)),2)</f>
        <v/>
      </c>
      <c r="AF15" s="6" t="n">
        <v>40</v>
      </c>
    </row>
    <row r="17">
      <c r="A17" s="9" t="inlineStr">
        <is>
          <t>🔑 = ha le chiavi (apre/chiude). Ogni giorno un tesserato apre alle 9:00 e uno chiude alle 21:00.</t>
        </is>
      </c>
    </row>
    <row r="18">
      <c r="A18" s="9" t="inlineStr">
        <is>
          <t>Riposi spostati rispetto alla settimana 5-11 ottobre: mai lo stesso giorno, distanza tra un riposo e l'altro da 2 a 5 giorni.</t>
        </is>
      </c>
    </row>
    <row r="19">
      <c r="A19" s="9" t="inlineStr">
        <is>
          <t>Orari delle casse (Benedetta, Martina, Debora, Giorgia) presi dal foglio del negozio; Luigi Diana lun-ven 9-13 / 14-18.</t>
        </is>
      </c>
    </row>
    <row r="20">
      <c r="A20" s="9" t="inlineStr">
        <is>
          <t>Sabato giornata intera per tutto il reparto, domenica niente mezze giornate; il terzo addetto di reparto messo di preferenza al pomeriggio.</t>
        </is>
      </c>
    </row>
    <row r="21">
      <c r="A21" s="9" t="inlineStr">
        <is>
          <t>Il foglio 'Copertura' conta ora per ora quante persone ci sono (si aggiorna da solo se modifichi gli orari).</t>
        </is>
      </c>
    </row>
  </sheetData>
  <mergeCells count="46">
    <mergeCell ref="W4:X4"/>
    <mergeCell ref="S9:V9"/>
    <mergeCell ref="Y4:Z4"/>
    <mergeCell ref="K14:N14"/>
    <mergeCell ref="O12:R12"/>
    <mergeCell ref="AA3:AD3"/>
    <mergeCell ref="C7:F7"/>
    <mergeCell ref="AA11:AD11"/>
    <mergeCell ref="C4:D4"/>
    <mergeCell ref="C13:F13"/>
    <mergeCell ref="E4:F4"/>
    <mergeCell ref="K6:N6"/>
    <mergeCell ref="G9:J9"/>
    <mergeCell ref="C3:F3"/>
    <mergeCell ref="K3:N3"/>
    <mergeCell ref="O7:R7"/>
    <mergeCell ref="O3:R3"/>
    <mergeCell ref="B3:B5"/>
    <mergeCell ref="G11:J11"/>
    <mergeCell ref="AA10:AD10"/>
    <mergeCell ref="O4:P4"/>
    <mergeCell ref="W15:Z15"/>
    <mergeCell ref="AA4:AB4"/>
    <mergeCell ref="Q4:R4"/>
    <mergeCell ref="AC4:AD4"/>
    <mergeCell ref="AF3:AF5"/>
    <mergeCell ref="AA13:AD13"/>
    <mergeCell ref="S3:V3"/>
    <mergeCell ref="S8:V8"/>
    <mergeCell ref="AE3:AE5"/>
    <mergeCell ref="AA6:AD6"/>
    <mergeCell ref="AA15:AD15"/>
    <mergeCell ref="G10:J10"/>
    <mergeCell ref="S14:V14"/>
    <mergeCell ref="G4:H4"/>
    <mergeCell ref="I4:J4"/>
    <mergeCell ref="W3:Z3"/>
    <mergeCell ref="G3:J3"/>
    <mergeCell ref="A3:A5"/>
    <mergeCell ref="K12:N12"/>
    <mergeCell ref="K8:N8"/>
    <mergeCell ref="K4:L4"/>
    <mergeCell ref="W12:Z12"/>
    <mergeCell ref="M4:N4"/>
    <mergeCell ref="S4:T4"/>
    <mergeCell ref="U4:V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Persone presenti ora per ora (calcolate dal foglio Orari)</t>
        </is>
      </c>
    </row>
    <row r="3">
      <c r="A3" s="10" t="inlineStr">
        <is>
          <t>ADDETTI REPARTO (vendite + vicedirettore) — obiettivo almeno 2</t>
        </is>
      </c>
    </row>
    <row r="4">
      <c r="A4" s="10" t="inlineStr">
        <is>
          <t>Giorno</t>
        </is>
      </c>
      <c r="B4" s="2" t="inlineStr">
        <is>
          <t>9-10</t>
        </is>
      </c>
      <c r="C4" s="2" t="inlineStr">
        <is>
          <t>10-11</t>
        </is>
      </c>
      <c r="D4" s="2" t="inlineStr">
        <is>
          <t>11-12</t>
        </is>
      </c>
      <c r="E4" s="2" t="inlineStr">
        <is>
          <t>12-13</t>
        </is>
      </c>
      <c r="F4" s="2" t="inlineStr">
        <is>
          <t>13-14</t>
        </is>
      </c>
      <c r="G4" s="2" t="inlineStr">
        <is>
          <t>14-15</t>
        </is>
      </c>
      <c r="H4" s="2" t="inlineStr">
        <is>
          <t>15-16</t>
        </is>
      </c>
      <c r="I4" s="2" t="inlineStr">
        <is>
          <t>16-17</t>
        </is>
      </c>
      <c r="J4" s="2" t="inlineStr">
        <is>
          <t>17-18</t>
        </is>
      </c>
      <c r="K4" s="2" t="inlineStr">
        <is>
          <t>18-19</t>
        </is>
      </c>
      <c r="L4" s="2" t="inlineStr">
        <is>
          <t>19-20</t>
        </is>
      </c>
      <c r="M4" s="2" t="inlineStr">
        <is>
          <t>20-21</t>
        </is>
      </c>
    </row>
    <row r="5">
      <c r="A5" s="11" t="inlineStr">
        <is>
          <t>lunedì 12 ottobre 2026</t>
        </is>
      </c>
      <c r="B5" s="6">
        <f>SUMPRODUCT((((Orari!$B$6:$B$15="Addetto vendite")+(Orari!$B$6:$B$15="Vicedirettore"))&gt;0)*(((Orari!$C$6:$C$15&lt;=TIME(9,30,0))*(Orari!$D$6:$D$15&gt;TIME(9,30,0)))+((Orari!$E$6:$E$15&lt;=TIME(9,30,0))*(Orari!$F$6:$F$15&gt;TIME(9,30,0)))))</f>
        <v/>
      </c>
      <c r="C5" s="6">
        <f>SUMPRODUCT((((Orari!$B$6:$B$15="Addetto vendite")+(Orari!$B$6:$B$15="Vicedirettore"))&gt;0)*(((Orari!$C$6:$C$15&lt;=TIME(10,30,0))*(Orari!$D$6:$D$15&gt;TIME(10,30,0)))+((Orari!$E$6:$E$15&lt;=TIME(10,30,0))*(Orari!$F$6:$F$15&gt;TIME(10,30,0)))))</f>
        <v/>
      </c>
      <c r="D5" s="6">
        <f>SUMPRODUCT((((Orari!$B$6:$B$15="Addetto vendite")+(Orari!$B$6:$B$15="Vicedirettore"))&gt;0)*(((Orari!$C$6:$C$15&lt;=TIME(11,30,0))*(Orari!$D$6:$D$15&gt;TIME(11,30,0)))+((Orari!$E$6:$E$15&lt;=TIME(11,30,0))*(Orari!$F$6:$F$15&gt;TIME(11,30,0)))))</f>
        <v/>
      </c>
      <c r="E5" s="6">
        <f>SUMPRODUCT((((Orari!$B$6:$B$15="Addetto vendite")+(Orari!$B$6:$B$15="Vicedirettore"))&gt;0)*(((Orari!$C$6:$C$15&lt;=TIME(12,30,0))*(Orari!$D$6:$D$15&gt;TIME(12,30,0)))+((Orari!$E$6:$E$15&lt;=TIME(12,30,0))*(Orari!$F$6:$F$15&gt;TIME(12,30,0)))))</f>
        <v/>
      </c>
      <c r="F5" s="6">
        <f>SUMPRODUCT((((Orari!$B$6:$B$15="Addetto vendite")+(Orari!$B$6:$B$15="Vicedirettore"))&gt;0)*(((Orari!$C$6:$C$15&lt;=TIME(13,30,0))*(Orari!$D$6:$D$15&gt;TIME(13,30,0)))+((Orari!$E$6:$E$15&lt;=TIME(13,30,0))*(Orari!$F$6:$F$15&gt;TIME(13,30,0)))))</f>
        <v/>
      </c>
      <c r="G5" s="6">
        <f>SUMPRODUCT((((Orari!$B$6:$B$15="Addetto vendite")+(Orari!$B$6:$B$15="Vicedirettore"))&gt;0)*(((Orari!$C$6:$C$15&lt;=TIME(14,30,0))*(Orari!$D$6:$D$15&gt;TIME(14,30,0)))+((Orari!$E$6:$E$15&lt;=TIME(14,30,0))*(Orari!$F$6:$F$15&gt;TIME(14,30,0)))))</f>
        <v/>
      </c>
      <c r="H5" s="6">
        <f>SUMPRODUCT((((Orari!$B$6:$B$15="Addetto vendite")+(Orari!$B$6:$B$15="Vicedirettore"))&gt;0)*(((Orari!$C$6:$C$15&lt;=TIME(15,30,0))*(Orari!$D$6:$D$15&gt;TIME(15,30,0)))+((Orari!$E$6:$E$15&lt;=TIME(15,30,0))*(Orari!$F$6:$F$15&gt;TIME(15,30,0)))))</f>
        <v/>
      </c>
      <c r="I5" s="6">
        <f>SUMPRODUCT((((Orari!$B$6:$B$15="Addetto vendite")+(Orari!$B$6:$B$15="Vicedirettore"))&gt;0)*(((Orari!$C$6:$C$15&lt;=TIME(16,30,0))*(Orari!$D$6:$D$15&gt;TIME(16,30,0)))+((Orari!$E$6:$E$15&lt;=TIME(16,30,0))*(Orari!$F$6:$F$15&gt;TIME(16,30,0)))))</f>
        <v/>
      </c>
      <c r="J5" s="6">
        <f>SUMPRODUCT((((Orari!$B$6:$B$15="Addetto vendite")+(Orari!$B$6:$B$15="Vicedirettore"))&gt;0)*(((Orari!$C$6:$C$15&lt;=TIME(17,30,0))*(Orari!$D$6:$D$15&gt;TIME(17,30,0)))+((Orari!$E$6:$E$15&lt;=TIME(17,30,0))*(Orari!$F$6:$F$15&gt;TIME(17,30,0)))))</f>
        <v/>
      </c>
      <c r="K5" s="6">
        <f>SUMPRODUCT((((Orari!$B$6:$B$15="Addetto vendite")+(Orari!$B$6:$B$15="Vicedirettore"))&gt;0)*(((Orari!$C$6:$C$15&lt;=TIME(18,30,0))*(Orari!$D$6:$D$15&gt;TIME(18,30,0)))+((Orari!$E$6:$E$15&lt;=TIME(18,30,0))*(Orari!$F$6:$F$15&gt;TIME(18,30,0)))))</f>
        <v/>
      </c>
      <c r="L5" s="6">
        <f>SUMPRODUCT((((Orari!$B$6:$B$15="Addetto vendite")+(Orari!$B$6:$B$15="Vicedirettore"))&gt;0)*(((Orari!$C$6:$C$15&lt;=TIME(19,30,0))*(Orari!$D$6:$D$15&gt;TIME(19,30,0)))+((Orari!$E$6:$E$15&lt;=TIME(19,30,0))*(Orari!$F$6:$F$15&gt;TIME(19,30,0)))))</f>
        <v/>
      </c>
      <c r="M5" s="6">
        <f>SUMPRODUCT((((Orari!$B$6:$B$15="Addetto vendite")+(Orari!$B$6:$B$15="Vicedirettore"))&gt;0)*(((Orari!$C$6:$C$15&lt;=TIME(20,30,0))*(Orari!$D$6:$D$15&gt;TIME(20,30,0)))+((Orari!$E$6:$E$15&lt;=TIME(20,30,0))*(Orari!$F$6:$F$15&gt;TIME(20,30,0)))))</f>
        <v/>
      </c>
    </row>
    <row r="6">
      <c r="A6" s="11" t="inlineStr">
        <is>
          <t>martedì 13 ottobre 2026</t>
        </is>
      </c>
      <c r="B6" s="6">
        <f>SUMPRODUCT((((Orari!$B$6:$B$15="Addetto vendite")+(Orari!$B$6:$B$15="Vicedirettore"))&gt;0)*(((Orari!$G$6:$G$15&lt;=TIME(9,30,0))*(Orari!$H$6:$H$15&gt;TIME(9,30,0)))+((Orari!$I$6:$I$15&lt;=TIME(9,30,0))*(Orari!$J$6:$J$15&gt;TIME(9,30,0)))))</f>
        <v/>
      </c>
      <c r="C6" s="6">
        <f>SUMPRODUCT((((Orari!$B$6:$B$15="Addetto vendite")+(Orari!$B$6:$B$15="Vicedirettore"))&gt;0)*(((Orari!$G$6:$G$15&lt;=TIME(10,30,0))*(Orari!$H$6:$H$15&gt;TIME(10,30,0)))+((Orari!$I$6:$I$15&lt;=TIME(10,30,0))*(Orari!$J$6:$J$15&gt;TIME(10,30,0)))))</f>
        <v/>
      </c>
      <c r="D6" s="6">
        <f>SUMPRODUCT((((Orari!$B$6:$B$15="Addetto vendite")+(Orari!$B$6:$B$15="Vicedirettore"))&gt;0)*(((Orari!$G$6:$G$15&lt;=TIME(11,30,0))*(Orari!$H$6:$H$15&gt;TIME(11,30,0)))+((Orari!$I$6:$I$15&lt;=TIME(11,30,0))*(Orari!$J$6:$J$15&gt;TIME(11,30,0)))))</f>
        <v/>
      </c>
      <c r="E6" s="6">
        <f>SUMPRODUCT((((Orari!$B$6:$B$15="Addetto vendite")+(Orari!$B$6:$B$15="Vicedirettore"))&gt;0)*(((Orari!$G$6:$G$15&lt;=TIME(12,30,0))*(Orari!$H$6:$H$15&gt;TIME(12,30,0)))+((Orari!$I$6:$I$15&lt;=TIME(12,30,0))*(Orari!$J$6:$J$15&gt;TIME(12,30,0)))))</f>
        <v/>
      </c>
      <c r="F6" s="6">
        <f>SUMPRODUCT((((Orari!$B$6:$B$15="Addetto vendite")+(Orari!$B$6:$B$15="Vicedirettore"))&gt;0)*(((Orari!$G$6:$G$15&lt;=TIME(13,30,0))*(Orari!$H$6:$H$15&gt;TIME(13,30,0)))+((Orari!$I$6:$I$15&lt;=TIME(13,30,0))*(Orari!$J$6:$J$15&gt;TIME(13,30,0)))))</f>
        <v/>
      </c>
      <c r="G6" s="6">
        <f>SUMPRODUCT((((Orari!$B$6:$B$15="Addetto vendite")+(Orari!$B$6:$B$15="Vicedirettore"))&gt;0)*(((Orari!$G$6:$G$15&lt;=TIME(14,30,0))*(Orari!$H$6:$H$15&gt;TIME(14,30,0)))+((Orari!$I$6:$I$15&lt;=TIME(14,30,0))*(Orari!$J$6:$J$15&gt;TIME(14,30,0)))))</f>
        <v/>
      </c>
      <c r="H6" s="6">
        <f>SUMPRODUCT((((Orari!$B$6:$B$15="Addetto vendite")+(Orari!$B$6:$B$15="Vicedirettore"))&gt;0)*(((Orari!$G$6:$G$15&lt;=TIME(15,30,0))*(Orari!$H$6:$H$15&gt;TIME(15,30,0)))+((Orari!$I$6:$I$15&lt;=TIME(15,30,0))*(Orari!$J$6:$J$15&gt;TIME(15,30,0)))))</f>
        <v/>
      </c>
      <c r="I6" s="6">
        <f>SUMPRODUCT((((Orari!$B$6:$B$15="Addetto vendite")+(Orari!$B$6:$B$15="Vicedirettore"))&gt;0)*(((Orari!$G$6:$G$15&lt;=TIME(16,30,0))*(Orari!$H$6:$H$15&gt;TIME(16,30,0)))+((Orari!$I$6:$I$15&lt;=TIME(16,30,0))*(Orari!$J$6:$J$15&gt;TIME(16,30,0)))))</f>
        <v/>
      </c>
      <c r="J6" s="6">
        <f>SUMPRODUCT((((Orari!$B$6:$B$15="Addetto vendite")+(Orari!$B$6:$B$15="Vicedirettore"))&gt;0)*(((Orari!$G$6:$G$15&lt;=TIME(17,30,0))*(Orari!$H$6:$H$15&gt;TIME(17,30,0)))+((Orari!$I$6:$I$15&lt;=TIME(17,30,0))*(Orari!$J$6:$J$15&gt;TIME(17,30,0)))))</f>
        <v/>
      </c>
      <c r="K6" s="6">
        <f>SUMPRODUCT((((Orari!$B$6:$B$15="Addetto vendite")+(Orari!$B$6:$B$15="Vicedirettore"))&gt;0)*(((Orari!$G$6:$G$15&lt;=TIME(18,30,0))*(Orari!$H$6:$H$15&gt;TIME(18,30,0)))+((Orari!$I$6:$I$15&lt;=TIME(18,30,0))*(Orari!$J$6:$J$15&gt;TIME(18,30,0)))))</f>
        <v/>
      </c>
      <c r="L6" s="6">
        <f>SUMPRODUCT((((Orari!$B$6:$B$15="Addetto vendite")+(Orari!$B$6:$B$15="Vicedirettore"))&gt;0)*(((Orari!$G$6:$G$15&lt;=TIME(19,30,0))*(Orari!$H$6:$H$15&gt;TIME(19,30,0)))+((Orari!$I$6:$I$15&lt;=TIME(19,30,0))*(Orari!$J$6:$J$15&gt;TIME(19,30,0)))))</f>
        <v/>
      </c>
      <c r="M6" s="6">
        <f>SUMPRODUCT((((Orari!$B$6:$B$15="Addetto vendite")+(Orari!$B$6:$B$15="Vicedirettore"))&gt;0)*(((Orari!$G$6:$G$15&lt;=TIME(20,30,0))*(Orari!$H$6:$H$15&gt;TIME(20,30,0)))+((Orari!$I$6:$I$15&lt;=TIME(20,30,0))*(Orari!$J$6:$J$15&gt;TIME(20,30,0)))))</f>
        <v/>
      </c>
    </row>
    <row r="7">
      <c r="A7" s="11" t="inlineStr">
        <is>
          <t>mercoledì 14 ottobre 2026</t>
        </is>
      </c>
      <c r="B7" s="6">
        <f>SUMPRODUCT((((Orari!$B$6:$B$15="Addetto vendite")+(Orari!$B$6:$B$15="Vicedirettore"))&gt;0)*(((Orari!$K$6:$K$15&lt;=TIME(9,30,0))*(Orari!$L$6:$L$15&gt;TIME(9,30,0)))+((Orari!$M$6:$M$15&lt;=TIME(9,30,0))*(Orari!$N$6:$N$15&gt;TIME(9,30,0)))))</f>
        <v/>
      </c>
      <c r="C7" s="6">
        <f>SUMPRODUCT((((Orari!$B$6:$B$15="Addetto vendite")+(Orari!$B$6:$B$15="Vicedirettore"))&gt;0)*(((Orari!$K$6:$K$15&lt;=TIME(10,30,0))*(Orari!$L$6:$L$15&gt;TIME(10,30,0)))+((Orari!$M$6:$M$15&lt;=TIME(10,30,0))*(Orari!$N$6:$N$15&gt;TIME(10,30,0)))))</f>
        <v/>
      </c>
      <c r="D7" s="6">
        <f>SUMPRODUCT((((Orari!$B$6:$B$15="Addetto vendite")+(Orari!$B$6:$B$15="Vicedirettore"))&gt;0)*(((Orari!$K$6:$K$15&lt;=TIME(11,30,0))*(Orari!$L$6:$L$15&gt;TIME(11,30,0)))+((Orari!$M$6:$M$15&lt;=TIME(11,30,0))*(Orari!$N$6:$N$15&gt;TIME(11,30,0)))))</f>
        <v/>
      </c>
      <c r="E7" s="6">
        <f>SUMPRODUCT((((Orari!$B$6:$B$15="Addetto vendite")+(Orari!$B$6:$B$15="Vicedirettore"))&gt;0)*(((Orari!$K$6:$K$15&lt;=TIME(12,30,0))*(Orari!$L$6:$L$15&gt;TIME(12,30,0)))+((Orari!$M$6:$M$15&lt;=TIME(12,30,0))*(Orari!$N$6:$N$15&gt;TIME(12,30,0)))))</f>
        <v/>
      </c>
      <c r="F7" s="6">
        <f>SUMPRODUCT((((Orari!$B$6:$B$15="Addetto vendite")+(Orari!$B$6:$B$15="Vicedirettore"))&gt;0)*(((Orari!$K$6:$K$15&lt;=TIME(13,30,0))*(Orari!$L$6:$L$15&gt;TIME(13,30,0)))+((Orari!$M$6:$M$15&lt;=TIME(13,30,0))*(Orari!$N$6:$N$15&gt;TIME(13,30,0)))))</f>
        <v/>
      </c>
      <c r="G7" s="6">
        <f>SUMPRODUCT((((Orari!$B$6:$B$15="Addetto vendite")+(Orari!$B$6:$B$15="Vicedirettore"))&gt;0)*(((Orari!$K$6:$K$15&lt;=TIME(14,30,0))*(Orari!$L$6:$L$15&gt;TIME(14,30,0)))+((Orari!$M$6:$M$15&lt;=TIME(14,30,0))*(Orari!$N$6:$N$15&gt;TIME(14,30,0)))))</f>
        <v/>
      </c>
      <c r="H7" s="6">
        <f>SUMPRODUCT((((Orari!$B$6:$B$15="Addetto vendite")+(Orari!$B$6:$B$15="Vicedirettore"))&gt;0)*(((Orari!$K$6:$K$15&lt;=TIME(15,30,0))*(Orari!$L$6:$L$15&gt;TIME(15,30,0)))+((Orari!$M$6:$M$15&lt;=TIME(15,30,0))*(Orari!$N$6:$N$15&gt;TIME(15,30,0)))))</f>
        <v/>
      </c>
      <c r="I7" s="6">
        <f>SUMPRODUCT((((Orari!$B$6:$B$15="Addetto vendite")+(Orari!$B$6:$B$15="Vicedirettore"))&gt;0)*(((Orari!$K$6:$K$15&lt;=TIME(16,30,0))*(Orari!$L$6:$L$15&gt;TIME(16,30,0)))+((Orari!$M$6:$M$15&lt;=TIME(16,30,0))*(Orari!$N$6:$N$15&gt;TIME(16,30,0)))))</f>
        <v/>
      </c>
      <c r="J7" s="6">
        <f>SUMPRODUCT((((Orari!$B$6:$B$15="Addetto vendite")+(Orari!$B$6:$B$15="Vicedirettore"))&gt;0)*(((Orari!$K$6:$K$15&lt;=TIME(17,30,0))*(Orari!$L$6:$L$15&gt;TIME(17,30,0)))+((Orari!$M$6:$M$15&lt;=TIME(17,30,0))*(Orari!$N$6:$N$15&gt;TIME(17,30,0)))))</f>
        <v/>
      </c>
      <c r="K7" s="6">
        <f>SUMPRODUCT((((Orari!$B$6:$B$15="Addetto vendite")+(Orari!$B$6:$B$15="Vicedirettore"))&gt;0)*(((Orari!$K$6:$K$15&lt;=TIME(18,30,0))*(Orari!$L$6:$L$15&gt;TIME(18,30,0)))+((Orari!$M$6:$M$15&lt;=TIME(18,30,0))*(Orari!$N$6:$N$15&gt;TIME(18,30,0)))))</f>
        <v/>
      </c>
      <c r="L7" s="6">
        <f>SUMPRODUCT((((Orari!$B$6:$B$15="Addetto vendite")+(Orari!$B$6:$B$15="Vicedirettore"))&gt;0)*(((Orari!$K$6:$K$15&lt;=TIME(19,30,0))*(Orari!$L$6:$L$15&gt;TIME(19,30,0)))+((Orari!$M$6:$M$15&lt;=TIME(19,30,0))*(Orari!$N$6:$N$15&gt;TIME(19,30,0)))))</f>
        <v/>
      </c>
      <c r="M7" s="6">
        <f>SUMPRODUCT((((Orari!$B$6:$B$15="Addetto vendite")+(Orari!$B$6:$B$15="Vicedirettore"))&gt;0)*(((Orari!$K$6:$K$15&lt;=TIME(20,30,0))*(Orari!$L$6:$L$15&gt;TIME(20,30,0)))+((Orari!$M$6:$M$15&lt;=TIME(20,30,0))*(Orari!$N$6:$N$15&gt;TIME(20,30,0)))))</f>
        <v/>
      </c>
    </row>
    <row r="8">
      <c r="A8" s="11" t="inlineStr">
        <is>
          <t>giovedì 15 ottobre 2026</t>
        </is>
      </c>
      <c r="B8" s="6">
        <f>SUMPRODUCT((((Orari!$B$6:$B$15="Addetto vendite")+(Orari!$B$6:$B$15="Vicedirettore"))&gt;0)*(((Orari!$O$6:$O$15&lt;=TIME(9,30,0))*(Orari!$P$6:$P$15&gt;TIME(9,30,0)))+((Orari!$Q$6:$Q$15&lt;=TIME(9,30,0))*(Orari!$R$6:$R$15&gt;TIME(9,30,0)))))</f>
        <v/>
      </c>
      <c r="C8" s="6">
        <f>SUMPRODUCT((((Orari!$B$6:$B$15="Addetto vendite")+(Orari!$B$6:$B$15="Vicedirettore"))&gt;0)*(((Orari!$O$6:$O$15&lt;=TIME(10,30,0))*(Orari!$P$6:$P$15&gt;TIME(10,30,0)))+((Orari!$Q$6:$Q$15&lt;=TIME(10,30,0))*(Orari!$R$6:$R$15&gt;TIME(10,30,0)))))</f>
        <v/>
      </c>
      <c r="D8" s="6">
        <f>SUMPRODUCT((((Orari!$B$6:$B$15="Addetto vendite")+(Orari!$B$6:$B$15="Vicedirettore"))&gt;0)*(((Orari!$O$6:$O$15&lt;=TIME(11,30,0))*(Orari!$P$6:$P$15&gt;TIME(11,30,0)))+((Orari!$Q$6:$Q$15&lt;=TIME(11,30,0))*(Orari!$R$6:$R$15&gt;TIME(11,30,0)))))</f>
        <v/>
      </c>
      <c r="E8" s="6">
        <f>SUMPRODUCT((((Orari!$B$6:$B$15="Addetto vendite")+(Orari!$B$6:$B$15="Vicedirettore"))&gt;0)*(((Orari!$O$6:$O$15&lt;=TIME(12,30,0))*(Orari!$P$6:$P$15&gt;TIME(12,30,0)))+((Orari!$Q$6:$Q$15&lt;=TIME(12,30,0))*(Orari!$R$6:$R$15&gt;TIME(12,30,0)))))</f>
        <v/>
      </c>
      <c r="F8" s="6">
        <f>SUMPRODUCT((((Orari!$B$6:$B$15="Addetto vendite")+(Orari!$B$6:$B$15="Vicedirettore"))&gt;0)*(((Orari!$O$6:$O$15&lt;=TIME(13,30,0))*(Orari!$P$6:$P$15&gt;TIME(13,30,0)))+((Orari!$Q$6:$Q$15&lt;=TIME(13,30,0))*(Orari!$R$6:$R$15&gt;TIME(13,30,0)))))</f>
        <v/>
      </c>
      <c r="G8" s="6">
        <f>SUMPRODUCT((((Orari!$B$6:$B$15="Addetto vendite")+(Orari!$B$6:$B$15="Vicedirettore"))&gt;0)*(((Orari!$O$6:$O$15&lt;=TIME(14,30,0))*(Orari!$P$6:$P$15&gt;TIME(14,30,0)))+((Orari!$Q$6:$Q$15&lt;=TIME(14,30,0))*(Orari!$R$6:$R$15&gt;TIME(14,30,0)))))</f>
        <v/>
      </c>
      <c r="H8" s="6">
        <f>SUMPRODUCT((((Orari!$B$6:$B$15="Addetto vendite")+(Orari!$B$6:$B$15="Vicedirettore"))&gt;0)*(((Orari!$O$6:$O$15&lt;=TIME(15,30,0))*(Orari!$P$6:$P$15&gt;TIME(15,30,0)))+((Orari!$Q$6:$Q$15&lt;=TIME(15,30,0))*(Orari!$R$6:$R$15&gt;TIME(15,30,0)))))</f>
        <v/>
      </c>
      <c r="I8" s="6">
        <f>SUMPRODUCT((((Orari!$B$6:$B$15="Addetto vendite")+(Orari!$B$6:$B$15="Vicedirettore"))&gt;0)*(((Orari!$O$6:$O$15&lt;=TIME(16,30,0))*(Orari!$P$6:$P$15&gt;TIME(16,30,0)))+((Orari!$Q$6:$Q$15&lt;=TIME(16,30,0))*(Orari!$R$6:$R$15&gt;TIME(16,30,0)))))</f>
        <v/>
      </c>
      <c r="J8" s="6">
        <f>SUMPRODUCT((((Orari!$B$6:$B$15="Addetto vendite")+(Orari!$B$6:$B$15="Vicedirettore"))&gt;0)*(((Orari!$O$6:$O$15&lt;=TIME(17,30,0))*(Orari!$P$6:$P$15&gt;TIME(17,30,0)))+((Orari!$Q$6:$Q$15&lt;=TIME(17,30,0))*(Orari!$R$6:$R$15&gt;TIME(17,30,0)))))</f>
        <v/>
      </c>
      <c r="K8" s="6">
        <f>SUMPRODUCT((((Orari!$B$6:$B$15="Addetto vendite")+(Orari!$B$6:$B$15="Vicedirettore"))&gt;0)*(((Orari!$O$6:$O$15&lt;=TIME(18,30,0))*(Orari!$P$6:$P$15&gt;TIME(18,30,0)))+((Orari!$Q$6:$Q$15&lt;=TIME(18,30,0))*(Orari!$R$6:$R$15&gt;TIME(18,30,0)))))</f>
        <v/>
      </c>
      <c r="L8" s="6">
        <f>SUMPRODUCT((((Orari!$B$6:$B$15="Addetto vendite")+(Orari!$B$6:$B$15="Vicedirettore"))&gt;0)*(((Orari!$O$6:$O$15&lt;=TIME(19,30,0))*(Orari!$P$6:$P$15&gt;TIME(19,30,0)))+((Orari!$Q$6:$Q$15&lt;=TIME(19,30,0))*(Orari!$R$6:$R$15&gt;TIME(19,30,0)))))</f>
        <v/>
      </c>
      <c r="M8" s="6">
        <f>SUMPRODUCT((((Orari!$B$6:$B$15="Addetto vendite")+(Orari!$B$6:$B$15="Vicedirettore"))&gt;0)*(((Orari!$O$6:$O$15&lt;=TIME(20,30,0))*(Orari!$P$6:$P$15&gt;TIME(20,30,0)))+((Orari!$Q$6:$Q$15&lt;=TIME(20,30,0))*(Orari!$R$6:$R$15&gt;TIME(20,30,0)))))</f>
        <v/>
      </c>
    </row>
    <row r="9">
      <c r="A9" s="11" t="inlineStr">
        <is>
          <t>venerdì 16 ottobre 2026</t>
        </is>
      </c>
      <c r="B9" s="6">
        <f>SUMPRODUCT((((Orari!$B$6:$B$15="Addetto vendite")+(Orari!$B$6:$B$15="Vicedirettore"))&gt;0)*(((Orari!$S$6:$S$15&lt;=TIME(9,30,0))*(Orari!$T$6:$T$15&gt;TIME(9,30,0)))+((Orari!$U$6:$U$15&lt;=TIME(9,30,0))*(Orari!$V$6:$V$15&gt;TIME(9,30,0)))))</f>
        <v/>
      </c>
      <c r="C9" s="6">
        <f>SUMPRODUCT((((Orari!$B$6:$B$15="Addetto vendite")+(Orari!$B$6:$B$15="Vicedirettore"))&gt;0)*(((Orari!$S$6:$S$15&lt;=TIME(10,30,0))*(Orari!$T$6:$T$15&gt;TIME(10,30,0)))+((Orari!$U$6:$U$15&lt;=TIME(10,30,0))*(Orari!$V$6:$V$15&gt;TIME(10,30,0)))))</f>
        <v/>
      </c>
      <c r="D9" s="6">
        <f>SUMPRODUCT((((Orari!$B$6:$B$15="Addetto vendite")+(Orari!$B$6:$B$15="Vicedirettore"))&gt;0)*(((Orari!$S$6:$S$15&lt;=TIME(11,30,0))*(Orari!$T$6:$T$15&gt;TIME(11,30,0)))+((Orari!$U$6:$U$15&lt;=TIME(11,30,0))*(Orari!$V$6:$V$15&gt;TIME(11,30,0)))))</f>
        <v/>
      </c>
      <c r="E9" s="6">
        <f>SUMPRODUCT((((Orari!$B$6:$B$15="Addetto vendite")+(Orari!$B$6:$B$15="Vicedirettore"))&gt;0)*(((Orari!$S$6:$S$15&lt;=TIME(12,30,0))*(Orari!$T$6:$T$15&gt;TIME(12,30,0)))+((Orari!$U$6:$U$15&lt;=TIME(12,30,0))*(Orari!$V$6:$V$15&gt;TIME(12,30,0)))))</f>
        <v/>
      </c>
      <c r="F9" s="6">
        <f>SUMPRODUCT((((Orari!$B$6:$B$15="Addetto vendite")+(Orari!$B$6:$B$15="Vicedirettore"))&gt;0)*(((Orari!$S$6:$S$15&lt;=TIME(13,30,0))*(Orari!$T$6:$T$15&gt;TIME(13,30,0)))+((Orari!$U$6:$U$15&lt;=TIME(13,30,0))*(Orari!$V$6:$V$15&gt;TIME(13,30,0)))))</f>
        <v/>
      </c>
      <c r="G9" s="6">
        <f>SUMPRODUCT((((Orari!$B$6:$B$15="Addetto vendite")+(Orari!$B$6:$B$15="Vicedirettore"))&gt;0)*(((Orari!$S$6:$S$15&lt;=TIME(14,30,0))*(Orari!$T$6:$T$15&gt;TIME(14,30,0)))+((Orari!$U$6:$U$15&lt;=TIME(14,30,0))*(Orari!$V$6:$V$15&gt;TIME(14,30,0)))))</f>
        <v/>
      </c>
      <c r="H9" s="6">
        <f>SUMPRODUCT((((Orari!$B$6:$B$15="Addetto vendite")+(Orari!$B$6:$B$15="Vicedirettore"))&gt;0)*(((Orari!$S$6:$S$15&lt;=TIME(15,30,0))*(Orari!$T$6:$T$15&gt;TIME(15,30,0)))+((Orari!$U$6:$U$15&lt;=TIME(15,30,0))*(Orari!$V$6:$V$15&gt;TIME(15,30,0)))))</f>
        <v/>
      </c>
      <c r="I9" s="6">
        <f>SUMPRODUCT((((Orari!$B$6:$B$15="Addetto vendite")+(Orari!$B$6:$B$15="Vicedirettore"))&gt;0)*(((Orari!$S$6:$S$15&lt;=TIME(16,30,0))*(Orari!$T$6:$T$15&gt;TIME(16,30,0)))+((Orari!$U$6:$U$15&lt;=TIME(16,30,0))*(Orari!$V$6:$V$15&gt;TIME(16,30,0)))))</f>
        <v/>
      </c>
      <c r="J9" s="6">
        <f>SUMPRODUCT((((Orari!$B$6:$B$15="Addetto vendite")+(Orari!$B$6:$B$15="Vicedirettore"))&gt;0)*(((Orari!$S$6:$S$15&lt;=TIME(17,30,0))*(Orari!$T$6:$T$15&gt;TIME(17,30,0)))+((Orari!$U$6:$U$15&lt;=TIME(17,30,0))*(Orari!$V$6:$V$15&gt;TIME(17,30,0)))))</f>
        <v/>
      </c>
      <c r="K9" s="6">
        <f>SUMPRODUCT((((Orari!$B$6:$B$15="Addetto vendite")+(Orari!$B$6:$B$15="Vicedirettore"))&gt;0)*(((Orari!$S$6:$S$15&lt;=TIME(18,30,0))*(Orari!$T$6:$T$15&gt;TIME(18,30,0)))+((Orari!$U$6:$U$15&lt;=TIME(18,30,0))*(Orari!$V$6:$V$15&gt;TIME(18,30,0)))))</f>
        <v/>
      </c>
      <c r="L9" s="6">
        <f>SUMPRODUCT((((Orari!$B$6:$B$15="Addetto vendite")+(Orari!$B$6:$B$15="Vicedirettore"))&gt;0)*(((Orari!$S$6:$S$15&lt;=TIME(19,30,0))*(Orari!$T$6:$T$15&gt;TIME(19,30,0)))+((Orari!$U$6:$U$15&lt;=TIME(19,30,0))*(Orari!$V$6:$V$15&gt;TIME(19,30,0)))))</f>
        <v/>
      </c>
      <c r="M9" s="6">
        <f>SUMPRODUCT((((Orari!$B$6:$B$15="Addetto vendite")+(Orari!$B$6:$B$15="Vicedirettore"))&gt;0)*(((Orari!$S$6:$S$15&lt;=TIME(20,30,0))*(Orari!$T$6:$T$15&gt;TIME(20,30,0)))+((Orari!$U$6:$U$15&lt;=TIME(20,30,0))*(Orari!$V$6:$V$15&gt;TIME(20,30,0)))))</f>
        <v/>
      </c>
    </row>
    <row r="10">
      <c r="A10" s="11" t="inlineStr">
        <is>
          <t>sabato 17 ottobre 2026</t>
        </is>
      </c>
      <c r="B10" s="6">
        <f>SUMPRODUCT((((Orari!$B$6:$B$15="Addetto vendite")+(Orari!$B$6:$B$15="Vicedirettore"))&gt;0)*(((Orari!$W$6:$W$15&lt;=TIME(9,30,0))*(Orari!$X$6:$X$15&gt;TIME(9,30,0)))+((Orari!$Y$6:$Y$15&lt;=TIME(9,30,0))*(Orari!$Z$6:$Z$15&gt;TIME(9,30,0)))))</f>
        <v/>
      </c>
      <c r="C10" s="6">
        <f>SUMPRODUCT((((Orari!$B$6:$B$15="Addetto vendite")+(Orari!$B$6:$B$15="Vicedirettore"))&gt;0)*(((Orari!$W$6:$W$15&lt;=TIME(10,30,0))*(Orari!$X$6:$X$15&gt;TIME(10,30,0)))+((Orari!$Y$6:$Y$15&lt;=TIME(10,30,0))*(Orari!$Z$6:$Z$15&gt;TIME(10,30,0)))))</f>
        <v/>
      </c>
      <c r="D10" s="6">
        <f>SUMPRODUCT((((Orari!$B$6:$B$15="Addetto vendite")+(Orari!$B$6:$B$15="Vicedirettore"))&gt;0)*(((Orari!$W$6:$W$15&lt;=TIME(11,30,0))*(Orari!$X$6:$X$15&gt;TIME(11,30,0)))+((Orari!$Y$6:$Y$15&lt;=TIME(11,30,0))*(Orari!$Z$6:$Z$15&gt;TIME(11,30,0)))))</f>
        <v/>
      </c>
      <c r="E10" s="6">
        <f>SUMPRODUCT((((Orari!$B$6:$B$15="Addetto vendite")+(Orari!$B$6:$B$15="Vicedirettore"))&gt;0)*(((Orari!$W$6:$W$15&lt;=TIME(12,30,0))*(Orari!$X$6:$X$15&gt;TIME(12,30,0)))+((Orari!$Y$6:$Y$15&lt;=TIME(12,30,0))*(Orari!$Z$6:$Z$15&gt;TIME(12,30,0)))))</f>
        <v/>
      </c>
      <c r="F10" s="6">
        <f>SUMPRODUCT((((Orari!$B$6:$B$15="Addetto vendite")+(Orari!$B$6:$B$15="Vicedirettore"))&gt;0)*(((Orari!$W$6:$W$15&lt;=TIME(13,30,0))*(Orari!$X$6:$X$15&gt;TIME(13,30,0)))+((Orari!$Y$6:$Y$15&lt;=TIME(13,30,0))*(Orari!$Z$6:$Z$15&gt;TIME(13,30,0)))))</f>
        <v/>
      </c>
      <c r="G10" s="6">
        <f>SUMPRODUCT((((Orari!$B$6:$B$15="Addetto vendite")+(Orari!$B$6:$B$15="Vicedirettore"))&gt;0)*(((Orari!$W$6:$W$15&lt;=TIME(14,30,0))*(Orari!$X$6:$X$15&gt;TIME(14,30,0)))+((Orari!$Y$6:$Y$15&lt;=TIME(14,30,0))*(Orari!$Z$6:$Z$15&gt;TIME(14,30,0)))))</f>
        <v/>
      </c>
      <c r="H10" s="6">
        <f>SUMPRODUCT((((Orari!$B$6:$B$15="Addetto vendite")+(Orari!$B$6:$B$15="Vicedirettore"))&gt;0)*(((Orari!$W$6:$W$15&lt;=TIME(15,30,0))*(Orari!$X$6:$X$15&gt;TIME(15,30,0)))+((Orari!$Y$6:$Y$15&lt;=TIME(15,30,0))*(Orari!$Z$6:$Z$15&gt;TIME(15,30,0)))))</f>
        <v/>
      </c>
      <c r="I10" s="6">
        <f>SUMPRODUCT((((Orari!$B$6:$B$15="Addetto vendite")+(Orari!$B$6:$B$15="Vicedirettore"))&gt;0)*(((Orari!$W$6:$W$15&lt;=TIME(16,30,0))*(Orari!$X$6:$X$15&gt;TIME(16,30,0)))+((Orari!$Y$6:$Y$15&lt;=TIME(16,30,0))*(Orari!$Z$6:$Z$15&gt;TIME(16,30,0)))))</f>
        <v/>
      </c>
      <c r="J10" s="6">
        <f>SUMPRODUCT((((Orari!$B$6:$B$15="Addetto vendite")+(Orari!$B$6:$B$15="Vicedirettore"))&gt;0)*(((Orari!$W$6:$W$15&lt;=TIME(17,30,0))*(Orari!$X$6:$X$15&gt;TIME(17,30,0)))+((Orari!$Y$6:$Y$15&lt;=TIME(17,30,0))*(Orari!$Z$6:$Z$15&gt;TIME(17,30,0)))))</f>
        <v/>
      </c>
      <c r="K10" s="6">
        <f>SUMPRODUCT((((Orari!$B$6:$B$15="Addetto vendite")+(Orari!$B$6:$B$15="Vicedirettore"))&gt;0)*(((Orari!$W$6:$W$15&lt;=TIME(18,30,0))*(Orari!$X$6:$X$15&gt;TIME(18,30,0)))+((Orari!$Y$6:$Y$15&lt;=TIME(18,30,0))*(Orari!$Z$6:$Z$15&gt;TIME(18,30,0)))))</f>
        <v/>
      </c>
      <c r="L10" s="6">
        <f>SUMPRODUCT((((Orari!$B$6:$B$15="Addetto vendite")+(Orari!$B$6:$B$15="Vicedirettore"))&gt;0)*(((Orari!$W$6:$W$15&lt;=TIME(19,30,0))*(Orari!$X$6:$X$15&gt;TIME(19,30,0)))+((Orari!$Y$6:$Y$15&lt;=TIME(19,30,0))*(Orari!$Z$6:$Z$15&gt;TIME(19,30,0)))))</f>
        <v/>
      </c>
      <c r="M10" s="6">
        <f>SUMPRODUCT((((Orari!$B$6:$B$15="Addetto vendite")+(Orari!$B$6:$B$15="Vicedirettore"))&gt;0)*(((Orari!$W$6:$W$15&lt;=TIME(20,30,0))*(Orari!$X$6:$X$15&gt;TIME(20,30,0)))+((Orari!$Y$6:$Y$15&lt;=TIME(20,30,0))*(Orari!$Z$6:$Z$15&gt;TIME(20,30,0)))))</f>
        <v/>
      </c>
    </row>
    <row r="11">
      <c r="A11" s="11" t="inlineStr">
        <is>
          <t>domenica 18 ottobre 2026</t>
        </is>
      </c>
      <c r="B11" s="6">
        <f>SUMPRODUCT((((Orari!$B$6:$B$15="Addetto vendite")+(Orari!$B$6:$B$15="Vicedirettore"))&gt;0)*(((Orari!$AA$6:$AA$15&lt;=TIME(9,30,0))*(Orari!$AB$6:$AB$15&gt;TIME(9,30,0)))+((Orari!$AC$6:$AC$15&lt;=TIME(9,30,0))*(Orari!$AD$6:$AD$15&gt;TIME(9,30,0)))))</f>
        <v/>
      </c>
      <c r="C11" s="6">
        <f>SUMPRODUCT((((Orari!$B$6:$B$15="Addetto vendite")+(Orari!$B$6:$B$15="Vicedirettore"))&gt;0)*(((Orari!$AA$6:$AA$15&lt;=TIME(10,30,0))*(Orari!$AB$6:$AB$15&gt;TIME(10,30,0)))+((Orari!$AC$6:$AC$15&lt;=TIME(10,30,0))*(Orari!$AD$6:$AD$15&gt;TIME(10,30,0)))))</f>
        <v/>
      </c>
      <c r="D11" s="6">
        <f>SUMPRODUCT((((Orari!$B$6:$B$15="Addetto vendite")+(Orari!$B$6:$B$15="Vicedirettore"))&gt;0)*(((Orari!$AA$6:$AA$15&lt;=TIME(11,30,0))*(Orari!$AB$6:$AB$15&gt;TIME(11,30,0)))+((Orari!$AC$6:$AC$15&lt;=TIME(11,30,0))*(Orari!$AD$6:$AD$15&gt;TIME(11,30,0)))))</f>
        <v/>
      </c>
      <c r="E11" s="6">
        <f>SUMPRODUCT((((Orari!$B$6:$B$15="Addetto vendite")+(Orari!$B$6:$B$15="Vicedirettore"))&gt;0)*(((Orari!$AA$6:$AA$15&lt;=TIME(12,30,0))*(Orari!$AB$6:$AB$15&gt;TIME(12,30,0)))+((Orari!$AC$6:$AC$15&lt;=TIME(12,30,0))*(Orari!$AD$6:$AD$15&gt;TIME(12,30,0)))))</f>
        <v/>
      </c>
      <c r="F11" s="6">
        <f>SUMPRODUCT((((Orari!$B$6:$B$15="Addetto vendite")+(Orari!$B$6:$B$15="Vicedirettore"))&gt;0)*(((Orari!$AA$6:$AA$15&lt;=TIME(13,30,0))*(Orari!$AB$6:$AB$15&gt;TIME(13,30,0)))+((Orari!$AC$6:$AC$15&lt;=TIME(13,30,0))*(Orari!$AD$6:$AD$15&gt;TIME(13,30,0)))))</f>
        <v/>
      </c>
      <c r="G11" s="6">
        <f>SUMPRODUCT((((Orari!$B$6:$B$15="Addetto vendite")+(Orari!$B$6:$B$15="Vicedirettore"))&gt;0)*(((Orari!$AA$6:$AA$15&lt;=TIME(14,30,0))*(Orari!$AB$6:$AB$15&gt;TIME(14,30,0)))+((Orari!$AC$6:$AC$15&lt;=TIME(14,30,0))*(Orari!$AD$6:$AD$15&gt;TIME(14,30,0)))))</f>
        <v/>
      </c>
      <c r="H11" s="6">
        <f>SUMPRODUCT((((Orari!$B$6:$B$15="Addetto vendite")+(Orari!$B$6:$B$15="Vicedirettore"))&gt;0)*(((Orari!$AA$6:$AA$15&lt;=TIME(15,30,0))*(Orari!$AB$6:$AB$15&gt;TIME(15,30,0)))+((Orari!$AC$6:$AC$15&lt;=TIME(15,30,0))*(Orari!$AD$6:$AD$15&gt;TIME(15,30,0)))))</f>
        <v/>
      </c>
      <c r="I11" s="6">
        <f>SUMPRODUCT((((Orari!$B$6:$B$15="Addetto vendite")+(Orari!$B$6:$B$15="Vicedirettore"))&gt;0)*(((Orari!$AA$6:$AA$15&lt;=TIME(16,30,0))*(Orari!$AB$6:$AB$15&gt;TIME(16,30,0)))+((Orari!$AC$6:$AC$15&lt;=TIME(16,30,0))*(Orari!$AD$6:$AD$15&gt;TIME(16,30,0)))))</f>
        <v/>
      </c>
      <c r="J11" s="6">
        <f>SUMPRODUCT((((Orari!$B$6:$B$15="Addetto vendite")+(Orari!$B$6:$B$15="Vicedirettore"))&gt;0)*(((Orari!$AA$6:$AA$15&lt;=TIME(17,30,0))*(Orari!$AB$6:$AB$15&gt;TIME(17,30,0)))+((Orari!$AC$6:$AC$15&lt;=TIME(17,30,0))*(Orari!$AD$6:$AD$15&gt;TIME(17,30,0)))))</f>
        <v/>
      </c>
      <c r="K11" s="6">
        <f>SUMPRODUCT((((Orari!$B$6:$B$15="Addetto vendite")+(Orari!$B$6:$B$15="Vicedirettore"))&gt;0)*(((Orari!$AA$6:$AA$15&lt;=TIME(18,30,0))*(Orari!$AB$6:$AB$15&gt;TIME(18,30,0)))+((Orari!$AC$6:$AC$15&lt;=TIME(18,30,0))*(Orari!$AD$6:$AD$15&gt;TIME(18,30,0)))))</f>
        <v/>
      </c>
      <c r="L11" s="6">
        <f>SUMPRODUCT((((Orari!$B$6:$B$15="Addetto vendite")+(Orari!$B$6:$B$15="Vicedirettore"))&gt;0)*(((Orari!$AA$6:$AA$15&lt;=TIME(19,30,0))*(Orari!$AB$6:$AB$15&gt;TIME(19,30,0)))+((Orari!$AC$6:$AC$15&lt;=TIME(19,30,0))*(Orari!$AD$6:$AD$15&gt;TIME(19,30,0)))))</f>
        <v/>
      </c>
      <c r="M11" s="6">
        <f>SUMPRODUCT((((Orari!$B$6:$B$15="Addetto vendite")+(Orari!$B$6:$B$15="Vicedirettore"))&gt;0)*(((Orari!$AA$6:$AA$15&lt;=TIME(20,30,0))*(Orari!$AB$6:$AB$15&gt;TIME(20,30,0)))+((Orari!$AC$6:$AC$15&lt;=TIME(20,30,0))*(Orari!$AD$6:$AD$15&gt;TIME(20,30,0)))))</f>
        <v/>
      </c>
    </row>
    <row r="13">
      <c r="A13" s="10" t="inlineStr">
        <is>
          <t>CASSIERE — obiettivo almeno 1</t>
        </is>
      </c>
    </row>
    <row r="14">
      <c r="A14" s="10" t="inlineStr">
        <is>
          <t>Giorno</t>
        </is>
      </c>
      <c r="B14" s="2" t="inlineStr">
        <is>
          <t>9-10</t>
        </is>
      </c>
      <c r="C14" s="2" t="inlineStr">
        <is>
          <t>10-11</t>
        </is>
      </c>
      <c r="D14" s="2" t="inlineStr">
        <is>
          <t>11-12</t>
        </is>
      </c>
      <c r="E14" s="2" t="inlineStr">
        <is>
          <t>12-13</t>
        </is>
      </c>
      <c r="F14" s="2" t="inlineStr">
        <is>
          <t>13-14</t>
        </is>
      </c>
      <c r="G14" s="2" t="inlineStr">
        <is>
          <t>14-15</t>
        </is>
      </c>
      <c r="H14" s="2" t="inlineStr">
        <is>
          <t>15-16</t>
        </is>
      </c>
      <c r="I14" s="2" t="inlineStr">
        <is>
          <t>16-17</t>
        </is>
      </c>
      <c r="J14" s="2" t="inlineStr">
        <is>
          <t>17-18</t>
        </is>
      </c>
      <c r="K14" s="2" t="inlineStr">
        <is>
          <t>18-19</t>
        </is>
      </c>
      <c r="L14" s="2" t="inlineStr">
        <is>
          <t>19-20</t>
        </is>
      </c>
      <c r="M14" s="2" t="inlineStr">
        <is>
          <t>20-21</t>
        </is>
      </c>
    </row>
    <row r="15">
      <c r="A15" s="11" t="inlineStr">
        <is>
          <t>lunedì 12 ottobre 2026</t>
        </is>
      </c>
      <c r="B15" s="6">
        <f>SUMPRODUCT((Orari!$B$6:$B$15="Cassiera")*(((Orari!$C$6:$C$15&lt;=TIME(9,30,0))*(Orari!$D$6:$D$15&gt;TIME(9,30,0)))+((Orari!$E$6:$E$15&lt;=TIME(9,30,0))*(Orari!$F$6:$F$15&gt;TIME(9,30,0)))))</f>
        <v/>
      </c>
      <c r="C15" s="6">
        <f>SUMPRODUCT((Orari!$B$6:$B$15="Cassiera")*(((Orari!$C$6:$C$15&lt;=TIME(10,30,0))*(Orari!$D$6:$D$15&gt;TIME(10,30,0)))+((Orari!$E$6:$E$15&lt;=TIME(10,30,0))*(Orari!$F$6:$F$15&gt;TIME(10,30,0)))))</f>
        <v/>
      </c>
      <c r="D15" s="6">
        <f>SUMPRODUCT((Orari!$B$6:$B$15="Cassiera")*(((Orari!$C$6:$C$15&lt;=TIME(11,30,0))*(Orari!$D$6:$D$15&gt;TIME(11,30,0)))+((Orari!$E$6:$E$15&lt;=TIME(11,30,0))*(Orari!$F$6:$F$15&gt;TIME(11,30,0)))))</f>
        <v/>
      </c>
      <c r="E15" s="6">
        <f>SUMPRODUCT((Orari!$B$6:$B$15="Cassiera")*(((Orari!$C$6:$C$15&lt;=TIME(12,30,0))*(Orari!$D$6:$D$15&gt;TIME(12,30,0)))+((Orari!$E$6:$E$15&lt;=TIME(12,30,0))*(Orari!$F$6:$F$15&gt;TIME(12,30,0)))))</f>
        <v/>
      </c>
      <c r="F15" s="6">
        <f>SUMPRODUCT((Orari!$B$6:$B$15="Cassiera")*(((Orari!$C$6:$C$15&lt;=TIME(13,30,0))*(Orari!$D$6:$D$15&gt;TIME(13,30,0)))+((Orari!$E$6:$E$15&lt;=TIME(13,30,0))*(Orari!$F$6:$F$15&gt;TIME(13,30,0)))))</f>
        <v/>
      </c>
      <c r="G15" s="6">
        <f>SUMPRODUCT((Orari!$B$6:$B$15="Cassiera")*(((Orari!$C$6:$C$15&lt;=TIME(14,30,0))*(Orari!$D$6:$D$15&gt;TIME(14,30,0)))+((Orari!$E$6:$E$15&lt;=TIME(14,30,0))*(Orari!$F$6:$F$15&gt;TIME(14,30,0)))))</f>
        <v/>
      </c>
      <c r="H15" s="6">
        <f>SUMPRODUCT((Orari!$B$6:$B$15="Cassiera")*(((Orari!$C$6:$C$15&lt;=TIME(15,30,0))*(Orari!$D$6:$D$15&gt;TIME(15,30,0)))+((Orari!$E$6:$E$15&lt;=TIME(15,30,0))*(Orari!$F$6:$F$15&gt;TIME(15,30,0)))))</f>
        <v/>
      </c>
      <c r="I15" s="6">
        <f>SUMPRODUCT((Orari!$B$6:$B$15="Cassiera")*(((Orari!$C$6:$C$15&lt;=TIME(16,30,0))*(Orari!$D$6:$D$15&gt;TIME(16,30,0)))+((Orari!$E$6:$E$15&lt;=TIME(16,30,0))*(Orari!$F$6:$F$15&gt;TIME(16,30,0)))))</f>
        <v/>
      </c>
      <c r="J15" s="6">
        <f>SUMPRODUCT((Orari!$B$6:$B$15="Cassiera")*(((Orari!$C$6:$C$15&lt;=TIME(17,30,0))*(Orari!$D$6:$D$15&gt;TIME(17,30,0)))+((Orari!$E$6:$E$15&lt;=TIME(17,30,0))*(Orari!$F$6:$F$15&gt;TIME(17,30,0)))))</f>
        <v/>
      </c>
      <c r="K15" s="6">
        <f>SUMPRODUCT((Orari!$B$6:$B$15="Cassiera")*(((Orari!$C$6:$C$15&lt;=TIME(18,30,0))*(Orari!$D$6:$D$15&gt;TIME(18,30,0)))+((Orari!$E$6:$E$15&lt;=TIME(18,30,0))*(Orari!$F$6:$F$15&gt;TIME(18,30,0)))))</f>
        <v/>
      </c>
      <c r="L15" s="6">
        <f>SUMPRODUCT((Orari!$B$6:$B$15="Cassiera")*(((Orari!$C$6:$C$15&lt;=TIME(19,30,0))*(Orari!$D$6:$D$15&gt;TIME(19,30,0)))+((Orari!$E$6:$E$15&lt;=TIME(19,30,0))*(Orari!$F$6:$F$15&gt;TIME(19,30,0)))))</f>
        <v/>
      </c>
      <c r="M15" s="6">
        <f>SUMPRODUCT((Orari!$B$6:$B$15="Cassiera")*(((Orari!$C$6:$C$15&lt;=TIME(20,30,0))*(Orari!$D$6:$D$15&gt;TIME(20,30,0)))+((Orari!$E$6:$E$15&lt;=TIME(20,30,0))*(Orari!$F$6:$F$15&gt;TIME(20,30,0)))))</f>
        <v/>
      </c>
    </row>
    <row r="16">
      <c r="A16" s="11" t="inlineStr">
        <is>
          <t>martedì 13 ottobre 2026</t>
        </is>
      </c>
      <c r="B16" s="6">
        <f>SUMPRODUCT((Orari!$B$6:$B$15="Cassiera")*(((Orari!$G$6:$G$15&lt;=TIME(9,30,0))*(Orari!$H$6:$H$15&gt;TIME(9,30,0)))+((Orari!$I$6:$I$15&lt;=TIME(9,30,0))*(Orari!$J$6:$J$15&gt;TIME(9,30,0)))))</f>
        <v/>
      </c>
      <c r="C16" s="6">
        <f>SUMPRODUCT((Orari!$B$6:$B$15="Cassiera")*(((Orari!$G$6:$G$15&lt;=TIME(10,30,0))*(Orari!$H$6:$H$15&gt;TIME(10,30,0)))+((Orari!$I$6:$I$15&lt;=TIME(10,30,0))*(Orari!$J$6:$J$15&gt;TIME(10,30,0)))))</f>
        <v/>
      </c>
      <c r="D16" s="6">
        <f>SUMPRODUCT((Orari!$B$6:$B$15="Cassiera")*(((Orari!$G$6:$G$15&lt;=TIME(11,30,0))*(Orari!$H$6:$H$15&gt;TIME(11,30,0)))+((Orari!$I$6:$I$15&lt;=TIME(11,30,0))*(Orari!$J$6:$J$15&gt;TIME(11,30,0)))))</f>
        <v/>
      </c>
      <c r="E16" s="6">
        <f>SUMPRODUCT((Orari!$B$6:$B$15="Cassiera")*(((Orari!$G$6:$G$15&lt;=TIME(12,30,0))*(Orari!$H$6:$H$15&gt;TIME(12,30,0)))+((Orari!$I$6:$I$15&lt;=TIME(12,30,0))*(Orari!$J$6:$J$15&gt;TIME(12,30,0)))))</f>
        <v/>
      </c>
      <c r="F16" s="6">
        <f>SUMPRODUCT((Orari!$B$6:$B$15="Cassiera")*(((Orari!$G$6:$G$15&lt;=TIME(13,30,0))*(Orari!$H$6:$H$15&gt;TIME(13,30,0)))+((Orari!$I$6:$I$15&lt;=TIME(13,30,0))*(Orari!$J$6:$J$15&gt;TIME(13,30,0)))))</f>
        <v/>
      </c>
      <c r="G16" s="6">
        <f>SUMPRODUCT((Orari!$B$6:$B$15="Cassiera")*(((Orari!$G$6:$G$15&lt;=TIME(14,30,0))*(Orari!$H$6:$H$15&gt;TIME(14,30,0)))+((Orari!$I$6:$I$15&lt;=TIME(14,30,0))*(Orari!$J$6:$J$15&gt;TIME(14,30,0)))))</f>
        <v/>
      </c>
      <c r="H16" s="6">
        <f>SUMPRODUCT((Orari!$B$6:$B$15="Cassiera")*(((Orari!$G$6:$G$15&lt;=TIME(15,30,0))*(Orari!$H$6:$H$15&gt;TIME(15,30,0)))+((Orari!$I$6:$I$15&lt;=TIME(15,30,0))*(Orari!$J$6:$J$15&gt;TIME(15,30,0)))))</f>
        <v/>
      </c>
      <c r="I16" s="6">
        <f>SUMPRODUCT((Orari!$B$6:$B$15="Cassiera")*(((Orari!$G$6:$G$15&lt;=TIME(16,30,0))*(Orari!$H$6:$H$15&gt;TIME(16,30,0)))+((Orari!$I$6:$I$15&lt;=TIME(16,30,0))*(Orari!$J$6:$J$15&gt;TIME(16,30,0)))))</f>
        <v/>
      </c>
      <c r="J16" s="6">
        <f>SUMPRODUCT((Orari!$B$6:$B$15="Cassiera")*(((Orari!$G$6:$G$15&lt;=TIME(17,30,0))*(Orari!$H$6:$H$15&gt;TIME(17,30,0)))+((Orari!$I$6:$I$15&lt;=TIME(17,30,0))*(Orari!$J$6:$J$15&gt;TIME(17,30,0)))))</f>
        <v/>
      </c>
      <c r="K16" s="6">
        <f>SUMPRODUCT((Orari!$B$6:$B$15="Cassiera")*(((Orari!$G$6:$G$15&lt;=TIME(18,30,0))*(Orari!$H$6:$H$15&gt;TIME(18,30,0)))+((Orari!$I$6:$I$15&lt;=TIME(18,30,0))*(Orari!$J$6:$J$15&gt;TIME(18,30,0)))))</f>
        <v/>
      </c>
      <c r="L16" s="6">
        <f>SUMPRODUCT((Orari!$B$6:$B$15="Cassiera")*(((Orari!$G$6:$G$15&lt;=TIME(19,30,0))*(Orari!$H$6:$H$15&gt;TIME(19,30,0)))+((Orari!$I$6:$I$15&lt;=TIME(19,30,0))*(Orari!$J$6:$J$15&gt;TIME(19,30,0)))))</f>
        <v/>
      </c>
      <c r="M16" s="6">
        <f>SUMPRODUCT((Orari!$B$6:$B$15="Cassiera")*(((Orari!$G$6:$G$15&lt;=TIME(20,30,0))*(Orari!$H$6:$H$15&gt;TIME(20,30,0)))+((Orari!$I$6:$I$15&lt;=TIME(20,30,0))*(Orari!$J$6:$J$15&gt;TIME(20,30,0)))))</f>
        <v/>
      </c>
    </row>
    <row r="17">
      <c r="A17" s="11" t="inlineStr">
        <is>
          <t>mercoledì 14 ottobre 2026</t>
        </is>
      </c>
      <c r="B17" s="6">
        <f>SUMPRODUCT((Orari!$B$6:$B$15="Cassiera")*(((Orari!$K$6:$K$15&lt;=TIME(9,30,0))*(Orari!$L$6:$L$15&gt;TIME(9,30,0)))+((Orari!$M$6:$M$15&lt;=TIME(9,30,0))*(Orari!$N$6:$N$15&gt;TIME(9,30,0)))))</f>
        <v/>
      </c>
      <c r="C17" s="6">
        <f>SUMPRODUCT((Orari!$B$6:$B$15="Cassiera")*(((Orari!$K$6:$K$15&lt;=TIME(10,30,0))*(Orari!$L$6:$L$15&gt;TIME(10,30,0)))+((Orari!$M$6:$M$15&lt;=TIME(10,30,0))*(Orari!$N$6:$N$15&gt;TIME(10,30,0)))))</f>
        <v/>
      </c>
      <c r="D17" s="6">
        <f>SUMPRODUCT((Orari!$B$6:$B$15="Cassiera")*(((Orari!$K$6:$K$15&lt;=TIME(11,30,0))*(Orari!$L$6:$L$15&gt;TIME(11,30,0)))+((Orari!$M$6:$M$15&lt;=TIME(11,30,0))*(Orari!$N$6:$N$15&gt;TIME(11,30,0)))))</f>
        <v/>
      </c>
      <c r="E17" s="6">
        <f>SUMPRODUCT((Orari!$B$6:$B$15="Cassiera")*(((Orari!$K$6:$K$15&lt;=TIME(12,30,0))*(Orari!$L$6:$L$15&gt;TIME(12,30,0)))+((Orari!$M$6:$M$15&lt;=TIME(12,30,0))*(Orari!$N$6:$N$15&gt;TIME(12,30,0)))))</f>
        <v/>
      </c>
      <c r="F17" s="6">
        <f>SUMPRODUCT((Orari!$B$6:$B$15="Cassiera")*(((Orari!$K$6:$K$15&lt;=TIME(13,30,0))*(Orari!$L$6:$L$15&gt;TIME(13,30,0)))+((Orari!$M$6:$M$15&lt;=TIME(13,30,0))*(Orari!$N$6:$N$15&gt;TIME(13,30,0)))))</f>
        <v/>
      </c>
      <c r="G17" s="6">
        <f>SUMPRODUCT((Orari!$B$6:$B$15="Cassiera")*(((Orari!$K$6:$K$15&lt;=TIME(14,30,0))*(Orari!$L$6:$L$15&gt;TIME(14,30,0)))+((Orari!$M$6:$M$15&lt;=TIME(14,30,0))*(Orari!$N$6:$N$15&gt;TIME(14,30,0)))))</f>
        <v/>
      </c>
      <c r="H17" s="6">
        <f>SUMPRODUCT((Orari!$B$6:$B$15="Cassiera")*(((Orari!$K$6:$K$15&lt;=TIME(15,30,0))*(Orari!$L$6:$L$15&gt;TIME(15,30,0)))+((Orari!$M$6:$M$15&lt;=TIME(15,30,0))*(Orari!$N$6:$N$15&gt;TIME(15,30,0)))))</f>
        <v/>
      </c>
      <c r="I17" s="6">
        <f>SUMPRODUCT((Orari!$B$6:$B$15="Cassiera")*(((Orari!$K$6:$K$15&lt;=TIME(16,30,0))*(Orari!$L$6:$L$15&gt;TIME(16,30,0)))+((Orari!$M$6:$M$15&lt;=TIME(16,30,0))*(Orari!$N$6:$N$15&gt;TIME(16,30,0)))))</f>
        <v/>
      </c>
      <c r="J17" s="6">
        <f>SUMPRODUCT((Orari!$B$6:$B$15="Cassiera")*(((Orari!$K$6:$K$15&lt;=TIME(17,30,0))*(Orari!$L$6:$L$15&gt;TIME(17,30,0)))+((Orari!$M$6:$M$15&lt;=TIME(17,30,0))*(Orari!$N$6:$N$15&gt;TIME(17,30,0)))))</f>
        <v/>
      </c>
      <c r="K17" s="6">
        <f>SUMPRODUCT((Orari!$B$6:$B$15="Cassiera")*(((Orari!$K$6:$K$15&lt;=TIME(18,30,0))*(Orari!$L$6:$L$15&gt;TIME(18,30,0)))+((Orari!$M$6:$M$15&lt;=TIME(18,30,0))*(Orari!$N$6:$N$15&gt;TIME(18,30,0)))))</f>
        <v/>
      </c>
      <c r="L17" s="6">
        <f>SUMPRODUCT((Orari!$B$6:$B$15="Cassiera")*(((Orari!$K$6:$K$15&lt;=TIME(19,30,0))*(Orari!$L$6:$L$15&gt;TIME(19,30,0)))+((Orari!$M$6:$M$15&lt;=TIME(19,30,0))*(Orari!$N$6:$N$15&gt;TIME(19,30,0)))))</f>
        <v/>
      </c>
      <c r="M17" s="6">
        <f>SUMPRODUCT((Orari!$B$6:$B$15="Cassiera")*(((Orari!$K$6:$K$15&lt;=TIME(20,30,0))*(Orari!$L$6:$L$15&gt;TIME(20,30,0)))+((Orari!$M$6:$M$15&lt;=TIME(20,30,0))*(Orari!$N$6:$N$15&gt;TIME(20,30,0)))))</f>
        <v/>
      </c>
    </row>
    <row r="18">
      <c r="A18" s="11" t="inlineStr">
        <is>
          <t>giovedì 15 ottobre 2026</t>
        </is>
      </c>
      <c r="B18" s="6">
        <f>SUMPRODUCT((Orari!$B$6:$B$15="Cassiera")*(((Orari!$O$6:$O$15&lt;=TIME(9,30,0))*(Orari!$P$6:$P$15&gt;TIME(9,30,0)))+((Orari!$Q$6:$Q$15&lt;=TIME(9,30,0))*(Orari!$R$6:$R$15&gt;TIME(9,30,0)))))</f>
        <v/>
      </c>
      <c r="C18" s="6">
        <f>SUMPRODUCT((Orari!$B$6:$B$15="Cassiera")*(((Orari!$O$6:$O$15&lt;=TIME(10,30,0))*(Orari!$P$6:$P$15&gt;TIME(10,30,0)))+((Orari!$Q$6:$Q$15&lt;=TIME(10,30,0))*(Orari!$R$6:$R$15&gt;TIME(10,30,0)))))</f>
        <v/>
      </c>
      <c r="D18" s="6">
        <f>SUMPRODUCT((Orari!$B$6:$B$15="Cassiera")*(((Orari!$O$6:$O$15&lt;=TIME(11,30,0))*(Orari!$P$6:$P$15&gt;TIME(11,30,0)))+((Orari!$Q$6:$Q$15&lt;=TIME(11,30,0))*(Orari!$R$6:$R$15&gt;TIME(11,30,0)))))</f>
        <v/>
      </c>
      <c r="E18" s="6">
        <f>SUMPRODUCT((Orari!$B$6:$B$15="Cassiera")*(((Orari!$O$6:$O$15&lt;=TIME(12,30,0))*(Orari!$P$6:$P$15&gt;TIME(12,30,0)))+((Orari!$Q$6:$Q$15&lt;=TIME(12,30,0))*(Orari!$R$6:$R$15&gt;TIME(12,30,0)))))</f>
        <v/>
      </c>
      <c r="F18" s="6">
        <f>SUMPRODUCT((Orari!$B$6:$B$15="Cassiera")*(((Orari!$O$6:$O$15&lt;=TIME(13,30,0))*(Orari!$P$6:$P$15&gt;TIME(13,30,0)))+((Orari!$Q$6:$Q$15&lt;=TIME(13,30,0))*(Orari!$R$6:$R$15&gt;TIME(13,30,0)))))</f>
        <v/>
      </c>
      <c r="G18" s="6">
        <f>SUMPRODUCT((Orari!$B$6:$B$15="Cassiera")*(((Orari!$O$6:$O$15&lt;=TIME(14,30,0))*(Orari!$P$6:$P$15&gt;TIME(14,30,0)))+((Orari!$Q$6:$Q$15&lt;=TIME(14,30,0))*(Orari!$R$6:$R$15&gt;TIME(14,30,0)))))</f>
        <v/>
      </c>
      <c r="H18" s="6">
        <f>SUMPRODUCT((Orari!$B$6:$B$15="Cassiera")*(((Orari!$O$6:$O$15&lt;=TIME(15,30,0))*(Orari!$P$6:$P$15&gt;TIME(15,30,0)))+((Orari!$Q$6:$Q$15&lt;=TIME(15,30,0))*(Orari!$R$6:$R$15&gt;TIME(15,30,0)))))</f>
        <v/>
      </c>
      <c r="I18" s="6">
        <f>SUMPRODUCT((Orari!$B$6:$B$15="Cassiera")*(((Orari!$O$6:$O$15&lt;=TIME(16,30,0))*(Orari!$P$6:$P$15&gt;TIME(16,30,0)))+((Orari!$Q$6:$Q$15&lt;=TIME(16,30,0))*(Orari!$R$6:$R$15&gt;TIME(16,30,0)))))</f>
        <v/>
      </c>
      <c r="J18" s="6">
        <f>SUMPRODUCT((Orari!$B$6:$B$15="Cassiera")*(((Orari!$O$6:$O$15&lt;=TIME(17,30,0))*(Orari!$P$6:$P$15&gt;TIME(17,30,0)))+((Orari!$Q$6:$Q$15&lt;=TIME(17,30,0))*(Orari!$R$6:$R$15&gt;TIME(17,30,0)))))</f>
        <v/>
      </c>
      <c r="K18" s="6">
        <f>SUMPRODUCT((Orari!$B$6:$B$15="Cassiera")*(((Orari!$O$6:$O$15&lt;=TIME(18,30,0))*(Orari!$P$6:$P$15&gt;TIME(18,30,0)))+((Orari!$Q$6:$Q$15&lt;=TIME(18,30,0))*(Orari!$R$6:$R$15&gt;TIME(18,30,0)))))</f>
        <v/>
      </c>
      <c r="L18" s="6">
        <f>SUMPRODUCT((Orari!$B$6:$B$15="Cassiera")*(((Orari!$O$6:$O$15&lt;=TIME(19,30,0))*(Orari!$P$6:$P$15&gt;TIME(19,30,0)))+((Orari!$Q$6:$Q$15&lt;=TIME(19,30,0))*(Orari!$R$6:$R$15&gt;TIME(19,30,0)))))</f>
        <v/>
      </c>
      <c r="M18" s="6">
        <f>SUMPRODUCT((Orari!$B$6:$B$15="Cassiera")*(((Orari!$O$6:$O$15&lt;=TIME(20,30,0))*(Orari!$P$6:$P$15&gt;TIME(20,30,0)))+((Orari!$Q$6:$Q$15&lt;=TIME(20,30,0))*(Orari!$R$6:$R$15&gt;TIME(20,30,0)))))</f>
        <v/>
      </c>
    </row>
    <row r="19">
      <c r="A19" s="11" t="inlineStr">
        <is>
          <t>venerdì 16 ottobre 2026</t>
        </is>
      </c>
      <c r="B19" s="6">
        <f>SUMPRODUCT((Orari!$B$6:$B$15="Cassiera")*(((Orari!$S$6:$S$15&lt;=TIME(9,30,0))*(Orari!$T$6:$T$15&gt;TIME(9,30,0)))+((Orari!$U$6:$U$15&lt;=TIME(9,30,0))*(Orari!$V$6:$V$15&gt;TIME(9,30,0)))))</f>
        <v/>
      </c>
      <c r="C19" s="6">
        <f>SUMPRODUCT((Orari!$B$6:$B$15="Cassiera")*(((Orari!$S$6:$S$15&lt;=TIME(10,30,0))*(Orari!$T$6:$T$15&gt;TIME(10,30,0)))+((Orari!$U$6:$U$15&lt;=TIME(10,30,0))*(Orari!$V$6:$V$15&gt;TIME(10,30,0)))))</f>
        <v/>
      </c>
      <c r="D19" s="6">
        <f>SUMPRODUCT((Orari!$B$6:$B$15="Cassiera")*(((Orari!$S$6:$S$15&lt;=TIME(11,30,0))*(Orari!$T$6:$T$15&gt;TIME(11,30,0)))+((Orari!$U$6:$U$15&lt;=TIME(11,30,0))*(Orari!$V$6:$V$15&gt;TIME(11,30,0)))))</f>
        <v/>
      </c>
      <c r="E19" s="6">
        <f>SUMPRODUCT((Orari!$B$6:$B$15="Cassiera")*(((Orari!$S$6:$S$15&lt;=TIME(12,30,0))*(Orari!$T$6:$T$15&gt;TIME(12,30,0)))+((Orari!$U$6:$U$15&lt;=TIME(12,30,0))*(Orari!$V$6:$V$15&gt;TIME(12,30,0)))))</f>
        <v/>
      </c>
      <c r="F19" s="6">
        <f>SUMPRODUCT((Orari!$B$6:$B$15="Cassiera")*(((Orari!$S$6:$S$15&lt;=TIME(13,30,0))*(Orari!$T$6:$T$15&gt;TIME(13,30,0)))+((Orari!$U$6:$U$15&lt;=TIME(13,30,0))*(Orari!$V$6:$V$15&gt;TIME(13,30,0)))))</f>
        <v/>
      </c>
      <c r="G19" s="6">
        <f>SUMPRODUCT((Orari!$B$6:$B$15="Cassiera")*(((Orari!$S$6:$S$15&lt;=TIME(14,30,0))*(Orari!$T$6:$T$15&gt;TIME(14,30,0)))+((Orari!$U$6:$U$15&lt;=TIME(14,30,0))*(Orari!$V$6:$V$15&gt;TIME(14,30,0)))))</f>
        <v/>
      </c>
      <c r="H19" s="6">
        <f>SUMPRODUCT((Orari!$B$6:$B$15="Cassiera")*(((Orari!$S$6:$S$15&lt;=TIME(15,30,0))*(Orari!$T$6:$T$15&gt;TIME(15,30,0)))+((Orari!$U$6:$U$15&lt;=TIME(15,30,0))*(Orari!$V$6:$V$15&gt;TIME(15,30,0)))))</f>
        <v/>
      </c>
      <c r="I19" s="6">
        <f>SUMPRODUCT((Orari!$B$6:$B$15="Cassiera")*(((Orari!$S$6:$S$15&lt;=TIME(16,30,0))*(Orari!$T$6:$T$15&gt;TIME(16,30,0)))+((Orari!$U$6:$U$15&lt;=TIME(16,30,0))*(Orari!$V$6:$V$15&gt;TIME(16,30,0)))))</f>
        <v/>
      </c>
      <c r="J19" s="6">
        <f>SUMPRODUCT((Orari!$B$6:$B$15="Cassiera")*(((Orari!$S$6:$S$15&lt;=TIME(17,30,0))*(Orari!$T$6:$T$15&gt;TIME(17,30,0)))+((Orari!$U$6:$U$15&lt;=TIME(17,30,0))*(Orari!$V$6:$V$15&gt;TIME(17,30,0)))))</f>
        <v/>
      </c>
      <c r="K19" s="6">
        <f>SUMPRODUCT((Orari!$B$6:$B$15="Cassiera")*(((Orari!$S$6:$S$15&lt;=TIME(18,30,0))*(Orari!$T$6:$T$15&gt;TIME(18,30,0)))+((Orari!$U$6:$U$15&lt;=TIME(18,30,0))*(Orari!$V$6:$V$15&gt;TIME(18,30,0)))))</f>
        <v/>
      </c>
      <c r="L19" s="6">
        <f>SUMPRODUCT((Orari!$B$6:$B$15="Cassiera")*(((Orari!$S$6:$S$15&lt;=TIME(19,30,0))*(Orari!$T$6:$T$15&gt;TIME(19,30,0)))+((Orari!$U$6:$U$15&lt;=TIME(19,30,0))*(Orari!$V$6:$V$15&gt;TIME(19,30,0)))))</f>
        <v/>
      </c>
      <c r="M19" s="6">
        <f>SUMPRODUCT((Orari!$B$6:$B$15="Cassiera")*(((Orari!$S$6:$S$15&lt;=TIME(20,30,0))*(Orari!$T$6:$T$15&gt;TIME(20,30,0)))+((Orari!$U$6:$U$15&lt;=TIME(20,30,0))*(Orari!$V$6:$V$15&gt;TIME(20,30,0)))))</f>
        <v/>
      </c>
    </row>
    <row r="20">
      <c r="A20" s="11" t="inlineStr">
        <is>
          <t>sabato 17 ottobre 2026</t>
        </is>
      </c>
      <c r="B20" s="6">
        <f>SUMPRODUCT((Orari!$B$6:$B$15="Cassiera")*(((Orari!$W$6:$W$15&lt;=TIME(9,30,0))*(Orari!$X$6:$X$15&gt;TIME(9,30,0)))+((Orari!$Y$6:$Y$15&lt;=TIME(9,30,0))*(Orari!$Z$6:$Z$15&gt;TIME(9,30,0)))))</f>
        <v/>
      </c>
      <c r="C20" s="6">
        <f>SUMPRODUCT((Orari!$B$6:$B$15="Cassiera")*(((Orari!$W$6:$W$15&lt;=TIME(10,30,0))*(Orari!$X$6:$X$15&gt;TIME(10,30,0)))+((Orari!$Y$6:$Y$15&lt;=TIME(10,30,0))*(Orari!$Z$6:$Z$15&gt;TIME(10,30,0)))))</f>
        <v/>
      </c>
      <c r="D20" s="6">
        <f>SUMPRODUCT((Orari!$B$6:$B$15="Cassiera")*(((Orari!$W$6:$W$15&lt;=TIME(11,30,0))*(Orari!$X$6:$X$15&gt;TIME(11,30,0)))+((Orari!$Y$6:$Y$15&lt;=TIME(11,30,0))*(Orari!$Z$6:$Z$15&gt;TIME(11,30,0)))))</f>
        <v/>
      </c>
      <c r="E20" s="6">
        <f>SUMPRODUCT((Orari!$B$6:$B$15="Cassiera")*(((Orari!$W$6:$W$15&lt;=TIME(12,30,0))*(Orari!$X$6:$X$15&gt;TIME(12,30,0)))+((Orari!$Y$6:$Y$15&lt;=TIME(12,30,0))*(Orari!$Z$6:$Z$15&gt;TIME(12,30,0)))))</f>
        <v/>
      </c>
      <c r="F20" s="6">
        <f>SUMPRODUCT((Orari!$B$6:$B$15="Cassiera")*(((Orari!$W$6:$W$15&lt;=TIME(13,30,0))*(Orari!$X$6:$X$15&gt;TIME(13,30,0)))+((Orari!$Y$6:$Y$15&lt;=TIME(13,30,0))*(Orari!$Z$6:$Z$15&gt;TIME(13,30,0)))))</f>
        <v/>
      </c>
      <c r="G20" s="6">
        <f>SUMPRODUCT((Orari!$B$6:$B$15="Cassiera")*(((Orari!$W$6:$W$15&lt;=TIME(14,30,0))*(Orari!$X$6:$X$15&gt;TIME(14,30,0)))+((Orari!$Y$6:$Y$15&lt;=TIME(14,30,0))*(Orari!$Z$6:$Z$15&gt;TIME(14,30,0)))))</f>
        <v/>
      </c>
      <c r="H20" s="6">
        <f>SUMPRODUCT((Orari!$B$6:$B$15="Cassiera")*(((Orari!$W$6:$W$15&lt;=TIME(15,30,0))*(Orari!$X$6:$X$15&gt;TIME(15,30,0)))+((Orari!$Y$6:$Y$15&lt;=TIME(15,30,0))*(Orari!$Z$6:$Z$15&gt;TIME(15,30,0)))))</f>
        <v/>
      </c>
      <c r="I20" s="6">
        <f>SUMPRODUCT((Orari!$B$6:$B$15="Cassiera")*(((Orari!$W$6:$W$15&lt;=TIME(16,30,0))*(Orari!$X$6:$X$15&gt;TIME(16,30,0)))+((Orari!$Y$6:$Y$15&lt;=TIME(16,30,0))*(Orari!$Z$6:$Z$15&gt;TIME(16,30,0)))))</f>
        <v/>
      </c>
      <c r="J20" s="6">
        <f>SUMPRODUCT((Orari!$B$6:$B$15="Cassiera")*(((Orari!$W$6:$W$15&lt;=TIME(17,30,0))*(Orari!$X$6:$X$15&gt;TIME(17,30,0)))+((Orari!$Y$6:$Y$15&lt;=TIME(17,30,0))*(Orari!$Z$6:$Z$15&gt;TIME(17,30,0)))))</f>
        <v/>
      </c>
      <c r="K20" s="6">
        <f>SUMPRODUCT((Orari!$B$6:$B$15="Cassiera")*(((Orari!$W$6:$W$15&lt;=TIME(18,30,0))*(Orari!$X$6:$X$15&gt;TIME(18,30,0)))+((Orari!$Y$6:$Y$15&lt;=TIME(18,30,0))*(Orari!$Z$6:$Z$15&gt;TIME(18,30,0)))))</f>
        <v/>
      </c>
      <c r="L20" s="6">
        <f>SUMPRODUCT((Orari!$B$6:$B$15="Cassiera")*(((Orari!$W$6:$W$15&lt;=TIME(19,30,0))*(Orari!$X$6:$X$15&gt;TIME(19,30,0)))+((Orari!$Y$6:$Y$15&lt;=TIME(19,30,0))*(Orari!$Z$6:$Z$15&gt;TIME(19,30,0)))))</f>
        <v/>
      </c>
      <c r="M20" s="6">
        <f>SUMPRODUCT((Orari!$B$6:$B$15="Cassiera")*(((Orari!$W$6:$W$15&lt;=TIME(20,30,0))*(Orari!$X$6:$X$15&gt;TIME(20,30,0)))+((Orari!$Y$6:$Y$15&lt;=TIME(20,30,0))*(Orari!$Z$6:$Z$15&gt;TIME(20,30,0)))))</f>
        <v/>
      </c>
    </row>
    <row r="21">
      <c r="A21" s="11" t="inlineStr">
        <is>
          <t>domenica 18 ottobre 2026</t>
        </is>
      </c>
      <c r="B21" s="6">
        <f>SUMPRODUCT((Orari!$B$6:$B$15="Cassiera")*(((Orari!$AA$6:$AA$15&lt;=TIME(9,30,0))*(Orari!$AB$6:$AB$15&gt;TIME(9,30,0)))+((Orari!$AC$6:$AC$15&lt;=TIME(9,30,0))*(Orari!$AD$6:$AD$15&gt;TIME(9,30,0)))))</f>
        <v/>
      </c>
      <c r="C21" s="6">
        <f>SUMPRODUCT((Orari!$B$6:$B$15="Cassiera")*(((Orari!$AA$6:$AA$15&lt;=TIME(10,30,0))*(Orari!$AB$6:$AB$15&gt;TIME(10,30,0)))+((Orari!$AC$6:$AC$15&lt;=TIME(10,30,0))*(Orari!$AD$6:$AD$15&gt;TIME(10,30,0)))))</f>
        <v/>
      </c>
      <c r="D21" s="6">
        <f>SUMPRODUCT((Orari!$B$6:$B$15="Cassiera")*(((Orari!$AA$6:$AA$15&lt;=TIME(11,30,0))*(Orari!$AB$6:$AB$15&gt;TIME(11,30,0)))+((Orari!$AC$6:$AC$15&lt;=TIME(11,30,0))*(Orari!$AD$6:$AD$15&gt;TIME(11,30,0)))))</f>
        <v/>
      </c>
      <c r="E21" s="6">
        <f>SUMPRODUCT((Orari!$B$6:$B$15="Cassiera")*(((Orari!$AA$6:$AA$15&lt;=TIME(12,30,0))*(Orari!$AB$6:$AB$15&gt;TIME(12,30,0)))+((Orari!$AC$6:$AC$15&lt;=TIME(12,30,0))*(Orari!$AD$6:$AD$15&gt;TIME(12,30,0)))))</f>
        <v/>
      </c>
      <c r="F21" s="6">
        <f>SUMPRODUCT((Orari!$B$6:$B$15="Cassiera")*(((Orari!$AA$6:$AA$15&lt;=TIME(13,30,0))*(Orari!$AB$6:$AB$15&gt;TIME(13,30,0)))+((Orari!$AC$6:$AC$15&lt;=TIME(13,30,0))*(Orari!$AD$6:$AD$15&gt;TIME(13,30,0)))))</f>
        <v/>
      </c>
      <c r="G21" s="6">
        <f>SUMPRODUCT((Orari!$B$6:$B$15="Cassiera")*(((Orari!$AA$6:$AA$15&lt;=TIME(14,30,0))*(Orari!$AB$6:$AB$15&gt;TIME(14,30,0)))+((Orari!$AC$6:$AC$15&lt;=TIME(14,30,0))*(Orari!$AD$6:$AD$15&gt;TIME(14,30,0)))))</f>
        <v/>
      </c>
      <c r="H21" s="6">
        <f>SUMPRODUCT((Orari!$B$6:$B$15="Cassiera")*(((Orari!$AA$6:$AA$15&lt;=TIME(15,30,0))*(Orari!$AB$6:$AB$15&gt;TIME(15,30,0)))+((Orari!$AC$6:$AC$15&lt;=TIME(15,30,0))*(Orari!$AD$6:$AD$15&gt;TIME(15,30,0)))))</f>
        <v/>
      </c>
      <c r="I21" s="6">
        <f>SUMPRODUCT((Orari!$B$6:$B$15="Cassiera")*(((Orari!$AA$6:$AA$15&lt;=TIME(16,30,0))*(Orari!$AB$6:$AB$15&gt;TIME(16,30,0)))+((Orari!$AC$6:$AC$15&lt;=TIME(16,30,0))*(Orari!$AD$6:$AD$15&gt;TIME(16,30,0)))))</f>
        <v/>
      </c>
      <c r="J21" s="6">
        <f>SUMPRODUCT((Orari!$B$6:$B$15="Cassiera")*(((Orari!$AA$6:$AA$15&lt;=TIME(17,30,0))*(Orari!$AB$6:$AB$15&gt;TIME(17,30,0)))+((Orari!$AC$6:$AC$15&lt;=TIME(17,30,0))*(Orari!$AD$6:$AD$15&gt;TIME(17,30,0)))))</f>
        <v/>
      </c>
      <c r="K21" s="6">
        <f>SUMPRODUCT((Orari!$B$6:$B$15="Cassiera")*(((Orari!$AA$6:$AA$15&lt;=TIME(18,30,0))*(Orari!$AB$6:$AB$15&gt;TIME(18,30,0)))+((Orari!$AC$6:$AC$15&lt;=TIME(18,30,0))*(Orari!$AD$6:$AD$15&gt;TIME(18,30,0)))))</f>
        <v/>
      </c>
      <c r="L21" s="6">
        <f>SUMPRODUCT((Orari!$B$6:$B$15="Cassiera")*(((Orari!$AA$6:$AA$15&lt;=TIME(19,30,0))*(Orari!$AB$6:$AB$15&gt;TIME(19,30,0)))+((Orari!$AC$6:$AC$15&lt;=TIME(19,30,0))*(Orari!$AD$6:$AD$15&gt;TIME(19,30,0)))))</f>
        <v/>
      </c>
      <c r="M21" s="6">
        <f>SUMPRODUCT((Orari!$B$6:$B$15="Cassiera")*(((Orari!$AA$6:$AA$15&lt;=TIME(20,30,0))*(Orari!$AB$6:$AB$15&gt;TIME(20,30,0)))+((Orari!$AC$6:$AC$15&lt;=TIME(20,30,0))*(Orari!$AD$6:$AD$15&gt;TIME(20,30,0)))))</f>
        <v/>
      </c>
    </row>
    <row r="23">
      <c r="A23" s="10" t="inlineStr">
        <is>
          <t>PERSONE CON LE CHIAVI — obiettivo almeno 1</t>
        </is>
      </c>
    </row>
    <row r="24">
      <c r="A24" s="10" t="inlineStr">
        <is>
          <t>Giorno</t>
        </is>
      </c>
      <c r="B24" s="2" t="inlineStr">
        <is>
          <t>9-10</t>
        </is>
      </c>
      <c r="C24" s="2" t="inlineStr">
        <is>
          <t>10-11</t>
        </is>
      </c>
      <c r="D24" s="2" t="inlineStr">
        <is>
          <t>11-12</t>
        </is>
      </c>
      <c r="E24" s="2" t="inlineStr">
        <is>
          <t>12-13</t>
        </is>
      </c>
      <c r="F24" s="2" t="inlineStr">
        <is>
          <t>13-14</t>
        </is>
      </c>
      <c r="G24" s="2" t="inlineStr">
        <is>
          <t>14-15</t>
        </is>
      </c>
      <c r="H24" s="2" t="inlineStr">
        <is>
          <t>15-16</t>
        </is>
      </c>
      <c r="I24" s="2" t="inlineStr">
        <is>
          <t>16-17</t>
        </is>
      </c>
      <c r="J24" s="2" t="inlineStr">
        <is>
          <t>17-18</t>
        </is>
      </c>
      <c r="K24" s="2" t="inlineStr">
        <is>
          <t>18-19</t>
        </is>
      </c>
      <c r="L24" s="2" t="inlineStr">
        <is>
          <t>19-20</t>
        </is>
      </c>
      <c r="M24" s="2" t="inlineStr">
        <is>
          <t>20-21</t>
        </is>
      </c>
    </row>
    <row r="25">
      <c r="A25" s="11" t="inlineStr">
        <is>
          <t>lunedì 12 ottobre 2026</t>
        </is>
      </c>
      <c r="B25" s="6">
        <f>SUMPRODUCT((ISNUMBER(SEARCH("🔑",Orari!$A$6:$A$15)))*(((Orari!$C$6:$C$15&lt;=TIME(9,30,0))*(Orari!$D$6:$D$15&gt;TIME(9,30,0)))+((Orari!$E$6:$E$15&lt;=TIME(9,30,0))*(Orari!$F$6:$F$15&gt;TIME(9,30,0)))))</f>
        <v/>
      </c>
      <c r="C25" s="6">
        <f>SUMPRODUCT((ISNUMBER(SEARCH("🔑",Orari!$A$6:$A$15)))*(((Orari!$C$6:$C$15&lt;=TIME(10,30,0))*(Orari!$D$6:$D$15&gt;TIME(10,30,0)))+((Orari!$E$6:$E$15&lt;=TIME(10,30,0))*(Orari!$F$6:$F$15&gt;TIME(10,30,0)))))</f>
        <v/>
      </c>
      <c r="D25" s="6">
        <f>SUMPRODUCT((ISNUMBER(SEARCH("🔑",Orari!$A$6:$A$15)))*(((Orari!$C$6:$C$15&lt;=TIME(11,30,0))*(Orari!$D$6:$D$15&gt;TIME(11,30,0)))+((Orari!$E$6:$E$15&lt;=TIME(11,30,0))*(Orari!$F$6:$F$15&gt;TIME(11,30,0)))))</f>
        <v/>
      </c>
      <c r="E25" s="6">
        <f>SUMPRODUCT((ISNUMBER(SEARCH("🔑",Orari!$A$6:$A$15)))*(((Orari!$C$6:$C$15&lt;=TIME(12,30,0))*(Orari!$D$6:$D$15&gt;TIME(12,30,0)))+((Orari!$E$6:$E$15&lt;=TIME(12,30,0))*(Orari!$F$6:$F$15&gt;TIME(12,30,0)))))</f>
        <v/>
      </c>
      <c r="F25" s="6">
        <f>SUMPRODUCT((ISNUMBER(SEARCH("🔑",Orari!$A$6:$A$15)))*(((Orari!$C$6:$C$15&lt;=TIME(13,30,0))*(Orari!$D$6:$D$15&gt;TIME(13,30,0)))+((Orari!$E$6:$E$15&lt;=TIME(13,30,0))*(Orari!$F$6:$F$15&gt;TIME(13,30,0)))))</f>
        <v/>
      </c>
      <c r="G25" s="6">
        <f>SUMPRODUCT((ISNUMBER(SEARCH("🔑",Orari!$A$6:$A$15)))*(((Orari!$C$6:$C$15&lt;=TIME(14,30,0))*(Orari!$D$6:$D$15&gt;TIME(14,30,0)))+((Orari!$E$6:$E$15&lt;=TIME(14,30,0))*(Orari!$F$6:$F$15&gt;TIME(14,30,0)))))</f>
        <v/>
      </c>
      <c r="H25" s="6">
        <f>SUMPRODUCT((ISNUMBER(SEARCH("🔑",Orari!$A$6:$A$15)))*(((Orari!$C$6:$C$15&lt;=TIME(15,30,0))*(Orari!$D$6:$D$15&gt;TIME(15,30,0)))+((Orari!$E$6:$E$15&lt;=TIME(15,30,0))*(Orari!$F$6:$F$15&gt;TIME(15,30,0)))))</f>
        <v/>
      </c>
      <c r="I25" s="6">
        <f>SUMPRODUCT((ISNUMBER(SEARCH("🔑",Orari!$A$6:$A$15)))*(((Orari!$C$6:$C$15&lt;=TIME(16,30,0))*(Orari!$D$6:$D$15&gt;TIME(16,30,0)))+((Orari!$E$6:$E$15&lt;=TIME(16,30,0))*(Orari!$F$6:$F$15&gt;TIME(16,30,0)))))</f>
        <v/>
      </c>
      <c r="J25" s="6">
        <f>SUMPRODUCT((ISNUMBER(SEARCH("🔑",Orari!$A$6:$A$15)))*(((Orari!$C$6:$C$15&lt;=TIME(17,30,0))*(Orari!$D$6:$D$15&gt;TIME(17,30,0)))+((Orari!$E$6:$E$15&lt;=TIME(17,30,0))*(Orari!$F$6:$F$15&gt;TIME(17,30,0)))))</f>
        <v/>
      </c>
      <c r="K25" s="6">
        <f>SUMPRODUCT((ISNUMBER(SEARCH("🔑",Orari!$A$6:$A$15)))*(((Orari!$C$6:$C$15&lt;=TIME(18,30,0))*(Orari!$D$6:$D$15&gt;TIME(18,30,0)))+((Orari!$E$6:$E$15&lt;=TIME(18,30,0))*(Orari!$F$6:$F$15&gt;TIME(18,30,0)))))</f>
        <v/>
      </c>
      <c r="L25" s="6">
        <f>SUMPRODUCT((ISNUMBER(SEARCH("🔑",Orari!$A$6:$A$15)))*(((Orari!$C$6:$C$15&lt;=TIME(19,30,0))*(Orari!$D$6:$D$15&gt;TIME(19,30,0)))+((Orari!$E$6:$E$15&lt;=TIME(19,30,0))*(Orari!$F$6:$F$15&gt;TIME(19,30,0)))))</f>
        <v/>
      </c>
      <c r="M25" s="6">
        <f>SUMPRODUCT((ISNUMBER(SEARCH("🔑",Orari!$A$6:$A$15)))*(((Orari!$C$6:$C$15&lt;=TIME(20,30,0))*(Orari!$D$6:$D$15&gt;TIME(20,30,0)))+((Orari!$E$6:$E$15&lt;=TIME(20,30,0))*(Orari!$F$6:$F$15&gt;TIME(20,30,0)))))</f>
        <v/>
      </c>
    </row>
    <row r="26">
      <c r="A26" s="11" t="inlineStr">
        <is>
          <t>martedì 13 ottobre 2026</t>
        </is>
      </c>
      <c r="B26" s="6">
        <f>SUMPRODUCT((ISNUMBER(SEARCH("🔑",Orari!$A$6:$A$15)))*(((Orari!$G$6:$G$15&lt;=TIME(9,30,0))*(Orari!$H$6:$H$15&gt;TIME(9,30,0)))+((Orari!$I$6:$I$15&lt;=TIME(9,30,0))*(Orari!$J$6:$J$15&gt;TIME(9,30,0)))))</f>
        <v/>
      </c>
      <c r="C26" s="6">
        <f>SUMPRODUCT((ISNUMBER(SEARCH("🔑",Orari!$A$6:$A$15)))*(((Orari!$G$6:$G$15&lt;=TIME(10,30,0))*(Orari!$H$6:$H$15&gt;TIME(10,30,0)))+((Orari!$I$6:$I$15&lt;=TIME(10,30,0))*(Orari!$J$6:$J$15&gt;TIME(10,30,0)))))</f>
        <v/>
      </c>
      <c r="D26" s="6">
        <f>SUMPRODUCT((ISNUMBER(SEARCH("🔑",Orari!$A$6:$A$15)))*(((Orari!$G$6:$G$15&lt;=TIME(11,30,0))*(Orari!$H$6:$H$15&gt;TIME(11,30,0)))+((Orari!$I$6:$I$15&lt;=TIME(11,30,0))*(Orari!$J$6:$J$15&gt;TIME(11,30,0)))))</f>
        <v/>
      </c>
      <c r="E26" s="6">
        <f>SUMPRODUCT((ISNUMBER(SEARCH("🔑",Orari!$A$6:$A$15)))*(((Orari!$G$6:$G$15&lt;=TIME(12,30,0))*(Orari!$H$6:$H$15&gt;TIME(12,30,0)))+((Orari!$I$6:$I$15&lt;=TIME(12,30,0))*(Orari!$J$6:$J$15&gt;TIME(12,30,0)))))</f>
        <v/>
      </c>
      <c r="F26" s="6">
        <f>SUMPRODUCT((ISNUMBER(SEARCH("🔑",Orari!$A$6:$A$15)))*(((Orari!$G$6:$G$15&lt;=TIME(13,30,0))*(Orari!$H$6:$H$15&gt;TIME(13,30,0)))+((Orari!$I$6:$I$15&lt;=TIME(13,30,0))*(Orari!$J$6:$J$15&gt;TIME(13,30,0)))))</f>
        <v/>
      </c>
      <c r="G26" s="6">
        <f>SUMPRODUCT((ISNUMBER(SEARCH("🔑",Orari!$A$6:$A$15)))*(((Orari!$G$6:$G$15&lt;=TIME(14,30,0))*(Orari!$H$6:$H$15&gt;TIME(14,30,0)))+((Orari!$I$6:$I$15&lt;=TIME(14,30,0))*(Orari!$J$6:$J$15&gt;TIME(14,30,0)))))</f>
        <v/>
      </c>
      <c r="H26" s="6">
        <f>SUMPRODUCT((ISNUMBER(SEARCH("🔑",Orari!$A$6:$A$15)))*(((Orari!$G$6:$G$15&lt;=TIME(15,30,0))*(Orari!$H$6:$H$15&gt;TIME(15,30,0)))+((Orari!$I$6:$I$15&lt;=TIME(15,30,0))*(Orari!$J$6:$J$15&gt;TIME(15,30,0)))))</f>
        <v/>
      </c>
      <c r="I26" s="6">
        <f>SUMPRODUCT((ISNUMBER(SEARCH("🔑",Orari!$A$6:$A$15)))*(((Orari!$G$6:$G$15&lt;=TIME(16,30,0))*(Orari!$H$6:$H$15&gt;TIME(16,30,0)))+((Orari!$I$6:$I$15&lt;=TIME(16,30,0))*(Orari!$J$6:$J$15&gt;TIME(16,30,0)))))</f>
        <v/>
      </c>
      <c r="J26" s="6">
        <f>SUMPRODUCT((ISNUMBER(SEARCH("🔑",Orari!$A$6:$A$15)))*(((Orari!$G$6:$G$15&lt;=TIME(17,30,0))*(Orari!$H$6:$H$15&gt;TIME(17,30,0)))+((Orari!$I$6:$I$15&lt;=TIME(17,30,0))*(Orari!$J$6:$J$15&gt;TIME(17,30,0)))))</f>
        <v/>
      </c>
      <c r="K26" s="6">
        <f>SUMPRODUCT((ISNUMBER(SEARCH("🔑",Orari!$A$6:$A$15)))*(((Orari!$G$6:$G$15&lt;=TIME(18,30,0))*(Orari!$H$6:$H$15&gt;TIME(18,30,0)))+((Orari!$I$6:$I$15&lt;=TIME(18,30,0))*(Orari!$J$6:$J$15&gt;TIME(18,30,0)))))</f>
        <v/>
      </c>
      <c r="L26" s="6">
        <f>SUMPRODUCT((ISNUMBER(SEARCH("🔑",Orari!$A$6:$A$15)))*(((Orari!$G$6:$G$15&lt;=TIME(19,30,0))*(Orari!$H$6:$H$15&gt;TIME(19,30,0)))+((Orari!$I$6:$I$15&lt;=TIME(19,30,0))*(Orari!$J$6:$J$15&gt;TIME(19,30,0)))))</f>
        <v/>
      </c>
      <c r="M26" s="6">
        <f>SUMPRODUCT((ISNUMBER(SEARCH("🔑",Orari!$A$6:$A$15)))*(((Orari!$G$6:$G$15&lt;=TIME(20,30,0))*(Orari!$H$6:$H$15&gt;TIME(20,30,0)))+((Orari!$I$6:$I$15&lt;=TIME(20,30,0))*(Orari!$J$6:$J$15&gt;TIME(20,30,0)))))</f>
        <v/>
      </c>
    </row>
    <row r="27">
      <c r="A27" s="11" t="inlineStr">
        <is>
          <t>mercoledì 14 ottobre 2026</t>
        </is>
      </c>
      <c r="B27" s="6">
        <f>SUMPRODUCT((ISNUMBER(SEARCH("🔑",Orari!$A$6:$A$15)))*(((Orari!$K$6:$K$15&lt;=TIME(9,30,0))*(Orari!$L$6:$L$15&gt;TIME(9,30,0)))+((Orari!$M$6:$M$15&lt;=TIME(9,30,0))*(Orari!$N$6:$N$15&gt;TIME(9,30,0)))))</f>
        <v/>
      </c>
      <c r="C27" s="6">
        <f>SUMPRODUCT((ISNUMBER(SEARCH("🔑",Orari!$A$6:$A$15)))*(((Orari!$K$6:$K$15&lt;=TIME(10,30,0))*(Orari!$L$6:$L$15&gt;TIME(10,30,0)))+((Orari!$M$6:$M$15&lt;=TIME(10,30,0))*(Orari!$N$6:$N$15&gt;TIME(10,30,0)))))</f>
        <v/>
      </c>
      <c r="D27" s="6">
        <f>SUMPRODUCT((ISNUMBER(SEARCH("🔑",Orari!$A$6:$A$15)))*(((Orari!$K$6:$K$15&lt;=TIME(11,30,0))*(Orari!$L$6:$L$15&gt;TIME(11,30,0)))+((Orari!$M$6:$M$15&lt;=TIME(11,30,0))*(Orari!$N$6:$N$15&gt;TIME(11,30,0)))))</f>
        <v/>
      </c>
      <c r="E27" s="6">
        <f>SUMPRODUCT((ISNUMBER(SEARCH("🔑",Orari!$A$6:$A$15)))*(((Orari!$K$6:$K$15&lt;=TIME(12,30,0))*(Orari!$L$6:$L$15&gt;TIME(12,30,0)))+((Orari!$M$6:$M$15&lt;=TIME(12,30,0))*(Orari!$N$6:$N$15&gt;TIME(12,30,0)))))</f>
        <v/>
      </c>
      <c r="F27" s="6">
        <f>SUMPRODUCT((ISNUMBER(SEARCH("🔑",Orari!$A$6:$A$15)))*(((Orari!$K$6:$K$15&lt;=TIME(13,30,0))*(Orari!$L$6:$L$15&gt;TIME(13,30,0)))+((Orari!$M$6:$M$15&lt;=TIME(13,30,0))*(Orari!$N$6:$N$15&gt;TIME(13,30,0)))))</f>
        <v/>
      </c>
      <c r="G27" s="6">
        <f>SUMPRODUCT((ISNUMBER(SEARCH("🔑",Orari!$A$6:$A$15)))*(((Orari!$K$6:$K$15&lt;=TIME(14,30,0))*(Orari!$L$6:$L$15&gt;TIME(14,30,0)))+((Orari!$M$6:$M$15&lt;=TIME(14,30,0))*(Orari!$N$6:$N$15&gt;TIME(14,30,0)))))</f>
        <v/>
      </c>
      <c r="H27" s="6">
        <f>SUMPRODUCT((ISNUMBER(SEARCH("🔑",Orari!$A$6:$A$15)))*(((Orari!$K$6:$K$15&lt;=TIME(15,30,0))*(Orari!$L$6:$L$15&gt;TIME(15,30,0)))+((Orari!$M$6:$M$15&lt;=TIME(15,30,0))*(Orari!$N$6:$N$15&gt;TIME(15,30,0)))))</f>
        <v/>
      </c>
      <c r="I27" s="6">
        <f>SUMPRODUCT((ISNUMBER(SEARCH("🔑",Orari!$A$6:$A$15)))*(((Orari!$K$6:$K$15&lt;=TIME(16,30,0))*(Orari!$L$6:$L$15&gt;TIME(16,30,0)))+((Orari!$M$6:$M$15&lt;=TIME(16,30,0))*(Orari!$N$6:$N$15&gt;TIME(16,30,0)))))</f>
        <v/>
      </c>
      <c r="J27" s="6">
        <f>SUMPRODUCT((ISNUMBER(SEARCH("🔑",Orari!$A$6:$A$15)))*(((Orari!$K$6:$K$15&lt;=TIME(17,30,0))*(Orari!$L$6:$L$15&gt;TIME(17,30,0)))+((Orari!$M$6:$M$15&lt;=TIME(17,30,0))*(Orari!$N$6:$N$15&gt;TIME(17,30,0)))))</f>
        <v/>
      </c>
      <c r="K27" s="6">
        <f>SUMPRODUCT((ISNUMBER(SEARCH("🔑",Orari!$A$6:$A$15)))*(((Orari!$K$6:$K$15&lt;=TIME(18,30,0))*(Orari!$L$6:$L$15&gt;TIME(18,30,0)))+((Orari!$M$6:$M$15&lt;=TIME(18,30,0))*(Orari!$N$6:$N$15&gt;TIME(18,30,0)))))</f>
        <v/>
      </c>
      <c r="L27" s="6">
        <f>SUMPRODUCT((ISNUMBER(SEARCH("🔑",Orari!$A$6:$A$15)))*(((Orari!$K$6:$K$15&lt;=TIME(19,30,0))*(Orari!$L$6:$L$15&gt;TIME(19,30,0)))+((Orari!$M$6:$M$15&lt;=TIME(19,30,0))*(Orari!$N$6:$N$15&gt;TIME(19,30,0)))))</f>
        <v/>
      </c>
      <c r="M27" s="6">
        <f>SUMPRODUCT((ISNUMBER(SEARCH("🔑",Orari!$A$6:$A$15)))*(((Orari!$K$6:$K$15&lt;=TIME(20,30,0))*(Orari!$L$6:$L$15&gt;TIME(20,30,0)))+((Orari!$M$6:$M$15&lt;=TIME(20,30,0))*(Orari!$N$6:$N$15&gt;TIME(20,30,0)))))</f>
        <v/>
      </c>
    </row>
    <row r="28">
      <c r="A28" s="11" t="inlineStr">
        <is>
          <t>giovedì 15 ottobre 2026</t>
        </is>
      </c>
      <c r="B28" s="6">
        <f>SUMPRODUCT((ISNUMBER(SEARCH("🔑",Orari!$A$6:$A$15)))*(((Orari!$O$6:$O$15&lt;=TIME(9,30,0))*(Orari!$P$6:$P$15&gt;TIME(9,30,0)))+((Orari!$Q$6:$Q$15&lt;=TIME(9,30,0))*(Orari!$R$6:$R$15&gt;TIME(9,30,0)))))</f>
        <v/>
      </c>
      <c r="C28" s="6">
        <f>SUMPRODUCT((ISNUMBER(SEARCH("🔑",Orari!$A$6:$A$15)))*(((Orari!$O$6:$O$15&lt;=TIME(10,30,0))*(Orari!$P$6:$P$15&gt;TIME(10,30,0)))+((Orari!$Q$6:$Q$15&lt;=TIME(10,30,0))*(Orari!$R$6:$R$15&gt;TIME(10,30,0)))))</f>
        <v/>
      </c>
      <c r="D28" s="6">
        <f>SUMPRODUCT((ISNUMBER(SEARCH("🔑",Orari!$A$6:$A$15)))*(((Orari!$O$6:$O$15&lt;=TIME(11,30,0))*(Orari!$P$6:$P$15&gt;TIME(11,30,0)))+((Orari!$Q$6:$Q$15&lt;=TIME(11,30,0))*(Orari!$R$6:$R$15&gt;TIME(11,30,0)))))</f>
        <v/>
      </c>
      <c r="E28" s="6">
        <f>SUMPRODUCT((ISNUMBER(SEARCH("🔑",Orari!$A$6:$A$15)))*(((Orari!$O$6:$O$15&lt;=TIME(12,30,0))*(Orari!$P$6:$P$15&gt;TIME(12,30,0)))+((Orari!$Q$6:$Q$15&lt;=TIME(12,30,0))*(Orari!$R$6:$R$15&gt;TIME(12,30,0)))))</f>
        <v/>
      </c>
      <c r="F28" s="6">
        <f>SUMPRODUCT((ISNUMBER(SEARCH("🔑",Orari!$A$6:$A$15)))*(((Orari!$O$6:$O$15&lt;=TIME(13,30,0))*(Orari!$P$6:$P$15&gt;TIME(13,30,0)))+((Orari!$Q$6:$Q$15&lt;=TIME(13,30,0))*(Orari!$R$6:$R$15&gt;TIME(13,30,0)))))</f>
        <v/>
      </c>
      <c r="G28" s="6">
        <f>SUMPRODUCT((ISNUMBER(SEARCH("🔑",Orari!$A$6:$A$15)))*(((Orari!$O$6:$O$15&lt;=TIME(14,30,0))*(Orari!$P$6:$P$15&gt;TIME(14,30,0)))+((Orari!$Q$6:$Q$15&lt;=TIME(14,30,0))*(Orari!$R$6:$R$15&gt;TIME(14,30,0)))))</f>
        <v/>
      </c>
      <c r="H28" s="6">
        <f>SUMPRODUCT((ISNUMBER(SEARCH("🔑",Orari!$A$6:$A$15)))*(((Orari!$O$6:$O$15&lt;=TIME(15,30,0))*(Orari!$P$6:$P$15&gt;TIME(15,30,0)))+((Orari!$Q$6:$Q$15&lt;=TIME(15,30,0))*(Orari!$R$6:$R$15&gt;TIME(15,30,0)))))</f>
        <v/>
      </c>
      <c r="I28" s="6">
        <f>SUMPRODUCT((ISNUMBER(SEARCH("🔑",Orari!$A$6:$A$15)))*(((Orari!$O$6:$O$15&lt;=TIME(16,30,0))*(Orari!$P$6:$P$15&gt;TIME(16,30,0)))+((Orari!$Q$6:$Q$15&lt;=TIME(16,30,0))*(Orari!$R$6:$R$15&gt;TIME(16,30,0)))))</f>
        <v/>
      </c>
      <c r="J28" s="6">
        <f>SUMPRODUCT((ISNUMBER(SEARCH("🔑",Orari!$A$6:$A$15)))*(((Orari!$O$6:$O$15&lt;=TIME(17,30,0))*(Orari!$P$6:$P$15&gt;TIME(17,30,0)))+((Orari!$Q$6:$Q$15&lt;=TIME(17,30,0))*(Orari!$R$6:$R$15&gt;TIME(17,30,0)))))</f>
        <v/>
      </c>
      <c r="K28" s="6">
        <f>SUMPRODUCT((ISNUMBER(SEARCH("🔑",Orari!$A$6:$A$15)))*(((Orari!$O$6:$O$15&lt;=TIME(18,30,0))*(Orari!$P$6:$P$15&gt;TIME(18,30,0)))+((Orari!$Q$6:$Q$15&lt;=TIME(18,30,0))*(Orari!$R$6:$R$15&gt;TIME(18,30,0)))))</f>
        <v/>
      </c>
      <c r="L28" s="6">
        <f>SUMPRODUCT((ISNUMBER(SEARCH("🔑",Orari!$A$6:$A$15)))*(((Orari!$O$6:$O$15&lt;=TIME(19,30,0))*(Orari!$P$6:$P$15&gt;TIME(19,30,0)))+((Orari!$Q$6:$Q$15&lt;=TIME(19,30,0))*(Orari!$R$6:$R$15&gt;TIME(19,30,0)))))</f>
        <v/>
      </c>
      <c r="M28" s="6">
        <f>SUMPRODUCT((ISNUMBER(SEARCH("🔑",Orari!$A$6:$A$15)))*(((Orari!$O$6:$O$15&lt;=TIME(20,30,0))*(Orari!$P$6:$P$15&gt;TIME(20,30,0)))+((Orari!$Q$6:$Q$15&lt;=TIME(20,30,0))*(Orari!$R$6:$R$15&gt;TIME(20,30,0)))))</f>
        <v/>
      </c>
    </row>
    <row r="29">
      <c r="A29" s="11" t="inlineStr">
        <is>
          <t>venerdì 16 ottobre 2026</t>
        </is>
      </c>
      <c r="B29" s="6">
        <f>SUMPRODUCT((ISNUMBER(SEARCH("🔑",Orari!$A$6:$A$15)))*(((Orari!$S$6:$S$15&lt;=TIME(9,30,0))*(Orari!$T$6:$T$15&gt;TIME(9,30,0)))+((Orari!$U$6:$U$15&lt;=TIME(9,30,0))*(Orari!$V$6:$V$15&gt;TIME(9,30,0)))))</f>
        <v/>
      </c>
      <c r="C29" s="6">
        <f>SUMPRODUCT((ISNUMBER(SEARCH("🔑",Orari!$A$6:$A$15)))*(((Orari!$S$6:$S$15&lt;=TIME(10,30,0))*(Orari!$T$6:$T$15&gt;TIME(10,30,0)))+((Orari!$U$6:$U$15&lt;=TIME(10,30,0))*(Orari!$V$6:$V$15&gt;TIME(10,30,0)))))</f>
        <v/>
      </c>
      <c r="D29" s="6">
        <f>SUMPRODUCT((ISNUMBER(SEARCH("🔑",Orari!$A$6:$A$15)))*(((Orari!$S$6:$S$15&lt;=TIME(11,30,0))*(Orari!$T$6:$T$15&gt;TIME(11,30,0)))+((Orari!$U$6:$U$15&lt;=TIME(11,30,0))*(Orari!$V$6:$V$15&gt;TIME(11,30,0)))))</f>
        <v/>
      </c>
      <c r="E29" s="6">
        <f>SUMPRODUCT((ISNUMBER(SEARCH("🔑",Orari!$A$6:$A$15)))*(((Orari!$S$6:$S$15&lt;=TIME(12,30,0))*(Orari!$T$6:$T$15&gt;TIME(12,30,0)))+((Orari!$U$6:$U$15&lt;=TIME(12,30,0))*(Orari!$V$6:$V$15&gt;TIME(12,30,0)))))</f>
        <v/>
      </c>
      <c r="F29" s="6">
        <f>SUMPRODUCT((ISNUMBER(SEARCH("🔑",Orari!$A$6:$A$15)))*(((Orari!$S$6:$S$15&lt;=TIME(13,30,0))*(Orari!$T$6:$T$15&gt;TIME(13,30,0)))+((Orari!$U$6:$U$15&lt;=TIME(13,30,0))*(Orari!$V$6:$V$15&gt;TIME(13,30,0)))))</f>
        <v/>
      </c>
      <c r="G29" s="6">
        <f>SUMPRODUCT((ISNUMBER(SEARCH("🔑",Orari!$A$6:$A$15)))*(((Orari!$S$6:$S$15&lt;=TIME(14,30,0))*(Orari!$T$6:$T$15&gt;TIME(14,30,0)))+((Orari!$U$6:$U$15&lt;=TIME(14,30,0))*(Orari!$V$6:$V$15&gt;TIME(14,30,0)))))</f>
        <v/>
      </c>
      <c r="H29" s="6">
        <f>SUMPRODUCT((ISNUMBER(SEARCH("🔑",Orari!$A$6:$A$15)))*(((Orari!$S$6:$S$15&lt;=TIME(15,30,0))*(Orari!$T$6:$T$15&gt;TIME(15,30,0)))+((Orari!$U$6:$U$15&lt;=TIME(15,30,0))*(Orari!$V$6:$V$15&gt;TIME(15,30,0)))))</f>
        <v/>
      </c>
      <c r="I29" s="6">
        <f>SUMPRODUCT((ISNUMBER(SEARCH("🔑",Orari!$A$6:$A$15)))*(((Orari!$S$6:$S$15&lt;=TIME(16,30,0))*(Orari!$T$6:$T$15&gt;TIME(16,30,0)))+((Orari!$U$6:$U$15&lt;=TIME(16,30,0))*(Orari!$V$6:$V$15&gt;TIME(16,30,0)))))</f>
        <v/>
      </c>
      <c r="J29" s="6">
        <f>SUMPRODUCT((ISNUMBER(SEARCH("🔑",Orari!$A$6:$A$15)))*(((Orari!$S$6:$S$15&lt;=TIME(17,30,0))*(Orari!$T$6:$T$15&gt;TIME(17,30,0)))+((Orari!$U$6:$U$15&lt;=TIME(17,30,0))*(Orari!$V$6:$V$15&gt;TIME(17,30,0)))))</f>
        <v/>
      </c>
      <c r="K29" s="6">
        <f>SUMPRODUCT((ISNUMBER(SEARCH("🔑",Orari!$A$6:$A$15)))*(((Orari!$S$6:$S$15&lt;=TIME(18,30,0))*(Orari!$T$6:$T$15&gt;TIME(18,30,0)))+((Orari!$U$6:$U$15&lt;=TIME(18,30,0))*(Orari!$V$6:$V$15&gt;TIME(18,30,0)))))</f>
        <v/>
      </c>
      <c r="L29" s="6">
        <f>SUMPRODUCT((ISNUMBER(SEARCH("🔑",Orari!$A$6:$A$15)))*(((Orari!$S$6:$S$15&lt;=TIME(19,30,0))*(Orari!$T$6:$T$15&gt;TIME(19,30,0)))+((Orari!$U$6:$U$15&lt;=TIME(19,30,0))*(Orari!$V$6:$V$15&gt;TIME(19,30,0)))))</f>
        <v/>
      </c>
      <c r="M29" s="6">
        <f>SUMPRODUCT((ISNUMBER(SEARCH("🔑",Orari!$A$6:$A$15)))*(((Orari!$S$6:$S$15&lt;=TIME(20,30,0))*(Orari!$T$6:$T$15&gt;TIME(20,30,0)))+((Orari!$U$6:$U$15&lt;=TIME(20,30,0))*(Orari!$V$6:$V$15&gt;TIME(20,30,0)))))</f>
        <v/>
      </c>
    </row>
    <row r="30">
      <c r="A30" s="11" t="inlineStr">
        <is>
          <t>sabato 17 ottobre 2026</t>
        </is>
      </c>
      <c r="B30" s="6">
        <f>SUMPRODUCT((ISNUMBER(SEARCH("🔑",Orari!$A$6:$A$15)))*(((Orari!$W$6:$W$15&lt;=TIME(9,30,0))*(Orari!$X$6:$X$15&gt;TIME(9,30,0)))+((Orari!$Y$6:$Y$15&lt;=TIME(9,30,0))*(Orari!$Z$6:$Z$15&gt;TIME(9,30,0)))))</f>
        <v/>
      </c>
      <c r="C30" s="6">
        <f>SUMPRODUCT((ISNUMBER(SEARCH("🔑",Orari!$A$6:$A$15)))*(((Orari!$W$6:$W$15&lt;=TIME(10,30,0))*(Orari!$X$6:$X$15&gt;TIME(10,30,0)))+((Orari!$Y$6:$Y$15&lt;=TIME(10,30,0))*(Orari!$Z$6:$Z$15&gt;TIME(10,30,0)))))</f>
        <v/>
      </c>
      <c r="D30" s="6">
        <f>SUMPRODUCT((ISNUMBER(SEARCH("🔑",Orari!$A$6:$A$15)))*(((Orari!$W$6:$W$15&lt;=TIME(11,30,0))*(Orari!$X$6:$X$15&gt;TIME(11,30,0)))+((Orari!$Y$6:$Y$15&lt;=TIME(11,30,0))*(Orari!$Z$6:$Z$15&gt;TIME(11,30,0)))))</f>
        <v/>
      </c>
      <c r="E30" s="6">
        <f>SUMPRODUCT((ISNUMBER(SEARCH("🔑",Orari!$A$6:$A$15)))*(((Orari!$W$6:$W$15&lt;=TIME(12,30,0))*(Orari!$X$6:$X$15&gt;TIME(12,30,0)))+((Orari!$Y$6:$Y$15&lt;=TIME(12,30,0))*(Orari!$Z$6:$Z$15&gt;TIME(12,30,0)))))</f>
        <v/>
      </c>
      <c r="F30" s="6">
        <f>SUMPRODUCT((ISNUMBER(SEARCH("🔑",Orari!$A$6:$A$15)))*(((Orari!$W$6:$W$15&lt;=TIME(13,30,0))*(Orari!$X$6:$X$15&gt;TIME(13,30,0)))+((Orari!$Y$6:$Y$15&lt;=TIME(13,30,0))*(Orari!$Z$6:$Z$15&gt;TIME(13,30,0)))))</f>
        <v/>
      </c>
      <c r="G30" s="6">
        <f>SUMPRODUCT((ISNUMBER(SEARCH("🔑",Orari!$A$6:$A$15)))*(((Orari!$W$6:$W$15&lt;=TIME(14,30,0))*(Orari!$X$6:$X$15&gt;TIME(14,30,0)))+((Orari!$Y$6:$Y$15&lt;=TIME(14,30,0))*(Orari!$Z$6:$Z$15&gt;TIME(14,30,0)))))</f>
        <v/>
      </c>
      <c r="H30" s="6">
        <f>SUMPRODUCT((ISNUMBER(SEARCH("🔑",Orari!$A$6:$A$15)))*(((Orari!$W$6:$W$15&lt;=TIME(15,30,0))*(Orari!$X$6:$X$15&gt;TIME(15,30,0)))+((Orari!$Y$6:$Y$15&lt;=TIME(15,30,0))*(Orari!$Z$6:$Z$15&gt;TIME(15,30,0)))))</f>
        <v/>
      </c>
      <c r="I30" s="6">
        <f>SUMPRODUCT((ISNUMBER(SEARCH("🔑",Orari!$A$6:$A$15)))*(((Orari!$W$6:$W$15&lt;=TIME(16,30,0))*(Orari!$X$6:$X$15&gt;TIME(16,30,0)))+((Orari!$Y$6:$Y$15&lt;=TIME(16,30,0))*(Orari!$Z$6:$Z$15&gt;TIME(16,30,0)))))</f>
        <v/>
      </c>
      <c r="J30" s="6">
        <f>SUMPRODUCT((ISNUMBER(SEARCH("🔑",Orari!$A$6:$A$15)))*(((Orari!$W$6:$W$15&lt;=TIME(17,30,0))*(Orari!$X$6:$X$15&gt;TIME(17,30,0)))+((Orari!$Y$6:$Y$15&lt;=TIME(17,30,0))*(Orari!$Z$6:$Z$15&gt;TIME(17,30,0)))))</f>
        <v/>
      </c>
      <c r="K30" s="6">
        <f>SUMPRODUCT((ISNUMBER(SEARCH("🔑",Orari!$A$6:$A$15)))*(((Orari!$W$6:$W$15&lt;=TIME(18,30,0))*(Orari!$X$6:$X$15&gt;TIME(18,30,0)))+((Orari!$Y$6:$Y$15&lt;=TIME(18,30,0))*(Orari!$Z$6:$Z$15&gt;TIME(18,30,0)))))</f>
        <v/>
      </c>
      <c r="L30" s="6">
        <f>SUMPRODUCT((ISNUMBER(SEARCH("🔑",Orari!$A$6:$A$15)))*(((Orari!$W$6:$W$15&lt;=TIME(19,30,0))*(Orari!$X$6:$X$15&gt;TIME(19,30,0)))+((Orari!$Y$6:$Y$15&lt;=TIME(19,30,0))*(Orari!$Z$6:$Z$15&gt;TIME(19,30,0)))))</f>
        <v/>
      </c>
      <c r="M30" s="6">
        <f>SUMPRODUCT((ISNUMBER(SEARCH("🔑",Orari!$A$6:$A$15)))*(((Orari!$W$6:$W$15&lt;=TIME(20,30,0))*(Orari!$X$6:$X$15&gt;TIME(20,30,0)))+((Orari!$Y$6:$Y$15&lt;=TIME(20,30,0))*(Orari!$Z$6:$Z$15&gt;TIME(20,30,0)))))</f>
        <v/>
      </c>
    </row>
    <row r="31">
      <c r="A31" s="11" t="inlineStr">
        <is>
          <t>domenica 18 ottobre 2026</t>
        </is>
      </c>
      <c r="B31" s="6">
        <f>SUMPRODUCT((ISNUMBER(SEARCH("🔑",Orari!$A$6:$A$15)))*(((Orari!$AA$6:$AA$15&lt;=TIME(9,30,0))*(Orari!$AB$6:$AB$15&gt;TIME(9,30,0)))+((Orari!$AC$6:$AC$15&lt;=TIME(9,30,0))*(Orari!$AD$6:$AD$15&gt;TIME(9,30,0)))))</f>
        <v/>
      </c>
      <c r="C31" s="6">
        <f>SUMPRODUCT((ISNUMBER(SEARCH("🔑",Orari!$A$6:$A$15)))*(((Orari!$AA$6:$AA$15&lt;=TIME(10,30,0))*(Orari!$AB$6:$AB$15&gt;TIME(10,30,0)))+((Orari!$AC$6:$AC$15&lt;=TIME(10,30,0))*(Orari!$AD$6:$AD$15&gt;TIME(10,30,0)))))</f>
        <v/>
      </c>
      <c r="D31" s="6">
        <f>SUMPRODUCT((ISNUMBER(SEARCH("🔑",Orari!$A$6:$A$15)))*(((Orari!$AA$6:$AA$15&lt;=TIME(11,30,0))*(Orari!$AB$6:$AB$15&gt;TIME(11,30,0)))+((Orari!$AC$6:$AC$15&lt;=TIME(11,30,0))*(Orari!$AD$6:$AD$15&gt;TIME(11,30,0)))))</f>
        <v/>
      </c>
      <c r="E31" s="6">
        <f>SUMPRODUCT((ISNUMBER(SEARCH("🔑",Orari!$A$6:$A$15)))*(((Orari!$AA$6:$AA$15&lt;=TIME(12,30,0))*(Orari!$AB$6:$AB$15&gt;TIME(12,30,0)))+((Orari!$AC$6:$AC$15&lt;=TIME(12,30,0))*(Orari!$AD$6:$AD$15&gt;TIME(12,30,0)))))</f>
        <v/>
      </c>
      <c r="F31" s="6">
        <f>SUMPRODUCT((ISNUMBER(SEARCH("🔑",Orari!$A$6:$A$15)))*(((Orari!$AA$6:$AA$15&lt;=TIME(13,30,0))*(Orari!$AB$6:$AB$15&gt;TIME(13,30,0)))+((Orari!$AC$6:$AC$15&lt;=TIME(13,30,0))*(Orari!$AD$6:$AD$15&gt;TIME(13,30,0)))))</f>
        <v/>
      </c>
      <c r="G31" s="6">
        <f>SUMPRODUCT((ISNUMBER(SEARCH("🔑",Orari!$A$6:$A$15)))*(((Orari!$AA$6:$AA$15&lt;=TIME(14,30,0))*(Orari!$AB$6:$AB$15&gt;TIME(14,30,0)))+((Orari!$AC$6:$AC$15&lt;=TIME(14,30,0))*(Orari!$AD$6:$AD$15&gt;TIME(14,30,0)))))</f>
        <v/>
      </c>
      <c r="H31" s="6">
        <f>SUMPRODUCT((ISNUMBER(SEARCH("🔑",Orari!$A$6:$A$15)))*(((Orari!$AA$6:$AA$15&lt;=TIME(15,30,0))*(Orari!$AB$6:$AB$15&gt;TIME(15,30,0)))+((Orari!$AC$6:$AC$15&lt;=TIME(15,30,0))*(Orari!$AD$6:$AD$15&gt;TIME(15,30,0)))))</f>
        <v/>
      </c>
      <c r="I31" s="6">
        <f>SUMPRODUCT((ISNUMBER(SEARCH("🔑",Orari!$A$6:$A$15)))*(((Orari!$AA$6:$AA$15&lt;=TIME(16,30,0))*(Orari!$AB$6:$AB$15&gt;TIME(16,30,0)))+((Orari!$AC$6:$AC$15&lt;=TIME(16,30,0))*(Orari!$AD$6:$AD$15&gt;TIME(16,30,0)))))</f>
        <v/>
      </c>
      <c r="J31" s="6">
        <f>SUMPRODUCT((ISNUMBER(SEARCH("🔑",Orari!$A$6:$A$15)))*(((Orari!$AA$6:$AA$15&lt;=TIME(17,30,0))*(Orari!$AB$6:$AB$15&gt;TIME(17,30,0)))+((Orari!$AC$6:$AC$15&lt;=TIME(17,30,0))*(Orari!$AD$6:$AD$15&gt;TIME(17,30,0)))))</f>
        <v/>
      </c>
      <c r="K31" s="6">
        <f>SUMPRODUCT((ISNUMBER(SEARCH("🔑",Orari!$A$6:$A$15)))*(((Orari!$AA$6:$AA$15&lt;=TIME(18,30,0))*(Orari!$AB$6:$AB$15&gt;TIME(18,30,0)))+((Orari!$AC$6:$AC$15&lt;=TIME(18,30,0))*(Orari!$AD$6:$AD$15&gt;TIME(18,30,0)))))</f>
        <v/>
      </c>
      <c r="L31" s="6">
        <f>SUMPRODUCT((ISNUMBER(SEARCH("🔑",Orari!$A$6:$A$15)))*(((Orari!$AA$6:$AA$15&lt;=TIME(19,30,0))*(Orari!$AB$6:$AB$15&gt;TIME(19,30,0)))+((Orari!$AC$6:$AC$15&lt;=TIME(19,30,0))*(Orari!$AD$6:$AD$15&gt;TIME(19,30,0)))))</f>
        <v/>
      </c>
      <c r="M31" s="6">
        <f>SUMPRODUCT((ISNUMBER(SEARCH("🔑",Orari!$A$6:$A$15)))*(((Orari!$AA$6:$AA$15&lt;=TIME(20,30,0))*(Orari!$AB$6:$AB$15&gt;TIME(20,30,0)))+((Orari!$AC$6:$AC$15&lt;=TIME(20,30,0))*(Orari!$AD$6:$AD$15&gt;TIME(20,30,0)))))</f>
        <v/>
      </c>
    </row>
  </sheetData>
  <conditionalFormatting sqref="B5:M11">
    <cfRule type="cellIs" priority="1" operator="lessThan" dxfId="0">
      <formula>2</formula>
    </cfRule>
  </conditionalFormatting>
  <conditionalFormatting sqref="B15:M21">
    <cfRule type="cellIs" priority="2" operator="lessThan" dxfId="0">
      <formula>1</formula>
    </cfRule>
  </conditionalFormatting>
  <conditionalFormatting sqref="B25:M31">
    <cfRule type="cellIs" priority="3" operator="lessThan" dxfId="0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2026-10-06T08:55:43Z</dcterms:created>
  <dcterms:modified xsi:type="dcterms:W3CDTF">2026-10-06T08:55:43Z</dcterms:modified>
</cp:coreProperties>
</file>